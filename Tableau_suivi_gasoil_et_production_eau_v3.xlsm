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8" autoFilterDateGrouping="1"/>
  </bookViews>
  <sheets>
    <sheet xmlns:r="http://schemas.openxmlformats.org/officeDocument/2006/relationships" name="Paramètres" sheetId="1" state="visible" r:id="rId1"/>
    <sheet xmlns:r="http://schemas.openxmlformats.org/officeDocument/2006/relationships" name="Référentiels" sheetId="2" state="visible" r:id="rId2"/>
    <sheet xmlns:r="http://schemas.openxmlformats.org/officeDocument/2006/relationships" name="Saisie_Gasoil" sheetId="3" state="visible" r:id="rId3"/>
    <sheet xmlns:r="http://schemas.openxmlformats.org/officeDocument/2006/relationships" name="Saisie_Eau" sheetId="4" state="visible" r:id="rId4"/>
    <sheet xmlns:r="http://schemas.openxmlformats.org/officeDocument/2006/relationships" name="Saisie_Rapide_Gasoil" sheetId="5" state="visible" r:id="rId5"/>
    <sheet xmlns:r="http://schemas.openxmlformats.org/officeDocument/2006/relationships" name="Saisie_Rapide_Eau" sheetId="6" state="visible" r:id="rId6"/>
    <sheet xmlns:r="http://schemas.openxmlformats.org/officeDocument/2006/relationships" name="Synthèse_Gasoil" sheetId="7" state="visible" r:id="rId7"/>
    <sheet xmlns:r="http://schemas.openxmlformats.org/officeDocument/2006/relationships" name="Synthèse_Eau" sheetId="8" state="visible" r:id="rId8"/>
    <sheet xmlns:r="http://schemas.openxmlformats.org/officeDocument/2006/relationships" name="Tableau_Bord" sheetId="9" state="visible" r:id="rId9"/>
    <sheet xmlns:r="http://schemas.openxmlformats.org/officeDocument/2006/relationships" name="Fiche_Terrain" sheetId="10" state="visible" r:id="rId10"/>
    <sheet xmlns:r="http://schemas.openxmlformats.org/officeDocument/2006/relationships" name="Mode_Emploi" sheetId="11" state="visible" r:id="rId11"/>
  </sheets>
  <definedNames>
    <definedName name="PrixGasoil">Paramètres!$D$7</definedName>
    <definedName name="FacteurCO2">Paramètres!$D$8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dd/mm/yyyy"/>
    <numFmt numFmtId="166" formatCode="hh:mm"/>
    <numFmt numFmtId="167" formatCode="0.0"/>
    <numFmt numFmtId="168" formatCode="#,##0.0"/>
  </numFmts>
  <fonts count="15">
    <font>
      <name val="Calibri"/>
      <family val="2"/>
      <color theme="1"/>
      <sz val="11"/>
      <scheme val="minor"/>
    </font>
    <font>
      <b val="1"/>
      <color rgb="00FFFFFF"/>
      <sz val="14"/>
    </font>
    <font>
      <sz val="10"/>
    </font>
    <font>
      <i val="1"/>
      <color rgb="00808080"/>
      <sz val="9"/>
    </font>
    <font>
      <b val="1"/>
      <color rgb="00FFFFFF"/>
      <sz val="10"/>
    </font>
    <font>
      <color rgb="00000000"/>
      <sz val="10"/>
    </font>
    <font>
      <b val="1"/>
      <color rgb="00FFFFFF"/>
      <sz val="16"/>
    </font>
    <font>
      <i val="1"/>
      <color rgb="00808080"/>
      <sz val="10"/>
    </font>
    <font>
      <b val="1"/>
      <color rgb="001F4E78"/>
      <sz val="11"/>
    </font>
    <font>
      <i val="1"/>
      <color rgb="00000000"/>
      <sz val="10"/>
    </font>
    <font>
      <b val="1"/>
      <color rgb="001F4E78"/>
      <sz val="10"/>
    </font>
    <font>
      <i val="1"/>
      <color rgb="00C00000"/>
      <sz val="9"/>
    </font>
    <font>
      <b val="1"/>
      <i val="1"/>
      <color rgb="00000000"/>
      <sz val="10"/>
    </font>
    <font>
      <b val="1"/>
      <color rgb="001F4E78"/>
      <sz val="16"/>
    </font>
    <font>
      <b val="1"/>
      <color rgb="00FFFFFF"/>
      <sz val="12"/>
    </font>
  </fonts>
  <fills count="8">
    <fill>
      <patternFill/>
    </fill>
    <fill>
      <patternFill patternType="gray125"/>
    </fill>
    <fill>
      <patternFill patternType="solid">
        <fgColor rgb="001F4E78"/>
      </patternFill>
    </fill>
    <fill>
      <patternFill patternType="solid">
        <fgColor rgb="00FFF2CC"/>
      </patternFill>
    </fill>
    <fill>
      <patternFill patternType="solid">
        <fgColor rgb="002E75B6"/>
      </patternFill>
    </fill>
    <fill>
      <patternFill patternType="solid">
        <fgColor rgb="00F2F2F2"/>
      </patternFill>
    </fill>
    <fill>
      <patternFill patternType="solid">
        <fgColor rgb="00D9E1F2"/>
      </patternFill>
    </fill>
    <fill>
      <patternFill patternType="solid">
        <fgColor rgb="00EAF1FB"/>
      </patternFill>
    </fill>
  </fills>
  <borders count="3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bottom style="thin">
        <color rgb="00000000"/>
      </bottom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0" fillId="2" borderId="0" pivotButton="0" quotePrefix="0" xfId="0"/>
    <xf numFmtId="0" fontId="2" fillId="0" borderId="1" applyAlignment="1" pivotButton="0" quotePrefix="0" xfId="0">
      <alignment vertical="center"/>
    </xf>
    <xf numFmtId="0" fontId="0" fillId="3" borderId="1" applyAlignment="1" pivotButton="0" quotePrefix="0" xfId="0">
      <alignment horizontal="center" vertical="center"/>
    </xf>
    <xf numFmtId="3" fontId="0" fillId="3" borderId="1" applyAlignment="1" pivotButton="0" quotePrefix="0" xfId="0">
      <alignment horizontal="center" vertical="center"/>
    </xf>
    <xf numFmtId="2" fontId="0" fillId="3" borderId="1" applyAlignment="1" pivotButton="0" quotePrefix="0" xfId="0">
      <alignment horizontal="center" vertical="center"/>
    </xf>
    <xf numFmtId="1" fontId="0" fillId="3" borderId="1" applyAlignment="1" pivotButton="0" quotePrefix="0" xfId="0">
      <alignment horizontal="center" vertical="center"/>
    </xf>
    <xf numFmtId="0" fontId="3" fillId="0" borderId="0" pivotButton="0" quotePrefix="0" xfId="0"/>
    <xf numFmtId="0" fontId="4" fillId="4" borderId="1" applyAlignment="1" pivotButton="0" quotePrefix="0" xfId="0">
      <alignment horizontal="center" vertical="center" wrapText="1"/>
    </xf>
    <xf numFmtId="0" fontId="0" fillId="3" borderId="1" pivotButton="0" quotePrefix="0" xfId="0"/>
    <xf numFmtId="1" fontId="5" fillId="5" borderId="1" applyAlignment="1" pivotButton="0" quotePrefix="0" xfId="0">
      <alignment horizontal="center" vertical="center"/>
    </xf>
    <xf numFmtId="165" fontId="0" fillId="3" borderId="1" pivotButton="0" quotePrefix="0" xfId="0"/>
    <xf numFmtId="166" fontId="0" fillId="3" borderId="1" pivotButton="0" quotePrefix="0" xfId="0"/>
    <xf numFmtId="167" fontId="0" fillId="3" borderId="1" pivotButton="0" quotePrefix="0" xfId="0"/>
    <xf numFmtId="2" fontId="5" fillId="5" borderId="1" applyAlignment="1" pivotButton="0" quotePrefix="0" xfId="0">
      <alignment horizontal="center" vertical="center"/>
    </xf>
    <xf numFmtId="1" fontId="0" fillId="3" borderId="1" pivotButton="0" quotePrefix="0" xfId="0"/>
    <xf numFmtId="164" fontId="5" fillId="5" borderId="1" applyAlignment="1" pivotButton="0" quotePrefix="0" xfId="0">
      <alignment horizontal="center" vertical="center"/>
    </xf>
    <xf numFmtId="167" fontId="5" fillId="5" borderId="1" applyAlignment="1" pivotButton="0" quotePrefix="0" xfId="0">
      <alignment horizontal="center" vertical="center"/>
    </xf>
    <xf numFmtId="2" fontId="0" fillId="3" borderId="1" pivotButton="0" quotePrefix="0" xfId="0"/>
    <xf numFmtId="0" fontId="6" fillId="2" borderId="0" applyAlignment="1" pivotButton="0" quotePrefix="0" xfId="0">
      <alignment horizontal="left" vertical="center" indent="1"/>
    </xf>
    <xf numFmtId="0" fontId="7" fillId="0" borderId="0" applyAlignment="1" pivotButton="0" quotePrefix="0" xfId="0">
      <alignment horizontal="left" vertical="center" indent="1"/>
    </xf>
    <xf numFmtId="0" fontId="8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0" fontId="5" fillId="0" borderId="0" applyAlignment="1" pivotButton="0" quotePrefix="0" xfId="0">
      <alignment horizontal="left" vertical="center"/>
    </xf>
    <xf numFmtId="165" fontId="0" fillId="3" borderId="1" applyAlignment="1" pivotButton="0" quotePrefix="0" xfId="0">
      <alignment horizontal="left" vertical="center"/>
    </xf>
    <xf numFmtId="166" fontId="0" fillId="3" borderId="1" applyAlignment="1" pivotButton="0" quotePrefix="0" xfId="0">
      <alignment horizontal="left" vertical="center"/>
    </xf>
    <xf numFmtId="0" fontId="0" fillId="3" borderId="1" applyAlignment="1" pivotButton="0" quotePrefix="0" xfId="0">
      <alignment horizontal="left" vertical="center"/>
    </xf>
    <xf numFmtId="167" fontId="0" fillId="3" borderId="1" applyAlignment="1" pivotButton="0" quotePrefix="0" xfId="0">
      <alignment horizontal="left" vertical="center"/>
    </xf>
    <xf numFmtId="1" fontId="0" fillId="3" borderId="1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2" fontId="10" fillId="5" borderId="1" applyAlignment="1" pivotButton="0" quotePrefix="0" xfId="0">
      <alignment horizontal="center" vertical="center"/>
    </xf>
    <xf numFmtId="164" fontId="10" fillId="5" borderId="1" applyAlignment="1" pivotButton="0" quotePrefix="0" xfId="0">
      <alignment horizontal="center" vertical="center"/>
    </xf>
    <xf numFmtId="0" fontId="11" fillId="0" borderId="0" applyAlignment="1" pivotButton="0" quotePrefix="0" xfId="0">
      <alignment horizontal="left" vertical="center" indent="1"/>
    </xf>
    <xf numFmtId="2" fontId="0" fillId="3" borderId="1" applyAlignment="1" pivotButton="0" quotePrefix="0" xfId="0">
      <alignment horizontal="left" vertical="center"/>
    </xf>
    <xf numFmtId="0" fontId="12" fillId="0" borderId="0" applyAlignment="1" pivotButton="0" quotePrefix="0" xfId="0">
      <alignment horizontal="left" vertical="center"/>
    </xf>
    <xf numFmtId="167" fontId="10" fillId="5" borderId="1" applyAlignment="1" pivotButton="0" quotePrefix="0" xfId="0">
      <alignment horizontal="center" vertical="center"/>
    </xf>
    <xf numFmtId="0" fontId="2" fillId="0" borderId="1" pivotButton="0" quotePrefix="0" xfId="0"/>
    <xf numFmtId="1" fontId="10" fillId="5" borderId="1" applyAlignment="1" pivotButton="0" quotePrefix="0" xfId="0">
      <alignment horizontal="center" vertical="center"/>
    </xf>
    <xf numFmtId="0" fontId="0" fillId="0" borderId="1" pivotButton="0" quotePrefix="0" xfId="0"/>
    <xf numFmtId="168" fontId="5" fillId="5" borderId="1" applyAlignment="1" pivotButton="0" quotePrefix="0" xfId="0">
      <alignment horizontal="center" vertical="center"/>
    </xf>
    <xf numFmtId="3" fontId="10" fillId="5" borderId="1" applyAlignment="1" pivotButton="0" quotePrefix="0" xfId="0">
      <alignment horizontal="center" vertical="center"/>
    </xf>
    <xf numFmtId="3" fontId="13" fillId="7" borderId="1" applyAlignment="1" pivotButton="0" quotePrefix="0" xfId="0">
      <alignment horizontal="center" vertical="center"/>
    </xf>
    <xf numFmtId="2" fontId="13" fillId="7" borderId="1" applyAlignment="1" pivotButton="0" quotePrefix="0" xfId="0">
      <alignment horizontal="center" vertical="center"/>
    </xf>
    <xf numFmtId="164" fontId="13" fillId="7" borderId="1" applyAlignment="1" pivotButton="0" quotePrefix="0" xfId="0">
      <alignment horizontal="center" vertical="center"/>
    </xf>
    <xf numFmtId="0" fontId="0" fillId="3" borderId="1" applyAlignment="1" pivotButton="0" quotePrefix="0" xfId="0">
      <alignment horizontal="left" vertical="top" wrapText="1"/>
    </xf>
    <xf numFmtId="0" fontId="0" fillId="0" borderId="2" pivotButton="0" quotePrefix="0" xfId="0"/>
    <xf numFmtId="0" fontId="14" fillId="4" borderId="1" applyAlignment="1" pivotButton="0" quotePrefix="0" xfId="0">
      <alignment horizontal="center" vertical="center"/>
    </xf>
    <xf numFmtId="0" fontId="10" fillId="0" borderId="1" applyAlignment="1" pivotButton="0" quotePrefix="0" xfId="0">
      <alignment vertical="center" wrapText="1"/>
    </xf>
    <xf numFmtId="0" fontId="2" fillId="0" borderId="1" applyAlignment="1" pivotButton="0" quotePrefix="0" xfId="0">
      <alignment vertical="center" wrapText="1"/>
    </xf>
  </cellXfs>
  <cellStyles count="1">
    <cellStyle name="Normal" xfId="0" builtinId="0" hidden="0"/>
  </cellStyles>
  <dxfs count="3"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/Relationships>
</file>

<file path=xl/charts/chart1.xml><?xml version="1.0" encoding="utf-8"?>
<chartSpace xmlns="http://schemas.openxmlformats.org/drawingml/2006/chart">
  <style val="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Évolution de la consommation moyenne (L/h)</a:t>
            </a:r>
          </a:p>
        </rich>
      </tx>
    </title>
    <plotArea>
      <lineChart>
        <grouping val="standard"/>
        <ser>
          <idx val="0"/>
          <order val="0"/>
          <tx>
            <strRef>
              <f>'Synthèse_Gasoil'!I4</f>
            </strRef>
          </tx>
          <spPr>
            <a:ln xmlns:a="http://schemas.openxmlformats.org/drawingml/2006/main" w="28000">
              <a:solidFill>
                <a:srgbClr val="1F4E78"/>
              </a:solidFill>
              <a:prstDash val="solid"/>
            </a:ln>
          </spPr>
          <marker>
            <symbol val="circle"/>
            <size val="6"/>
            <spPr>
              <a:solidFill xmlns:a="http://schemas.openxmlformats.org/drawingml/2006/main">
                <a:srgbClr val="2E75B6"/>
              </a:solidFill>
              <a:ln xmlns:a="http://schemas.openxmlformats.org/drawingml/2006/main">
                <a:prstDash val="solid"/>
              </a:ln>
            </spPr>
          </marker>
          <cat>
            <numRef>
              <f>'Synthèse_Gasoil'!$H$5:$H$34</f>
            </numRef>
          </cat>
          <val>
            <numRef>
              <f>'Synthèse_Gasoil'!$I$5:$I$34</f>
            </numRef>
          </val>
          <smooth val="1"/>
        </ser>
        <axId val="10"/>
        <axId val="100"/>
      </lineChart>
      <catAx>
        <axId val="10"/>
        <scaling>
          <orientation val="minMax"/>
        </scaling>
        <delete val="0"/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N° d'essai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L/h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="http://schemas.openxmlformats.org/drawingml/2006/chart">
  <style val="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Gasoil total par site (L)</a:t>
            </a:r>
          </a:p>
        </rich>
      </tx>
    </title>
    <plotArea>
      <barChart>
        <barDir val="col"/>
        <grouping val="clustered"/>
        <ser>
          <idx val="0"/>
          <order val="0"/>
          <spPr>
            <a:solidFill xmlns:a="http://schemas.openxmlformats.org/drawingml/2006/main">
              <a:srgbClr val="2E75B6"/>
            </a:solidFill>
            <a:ln xmlns:a="http://schemas.openxmlformats.org/drawingml/2006/main">
              <a:solidFill>
                <a:srgbClr val="1F4E78"/>
              </a:solidFill>
              <a:prstDash val="solid"/>
            </a:ln>
          </spPr>
          <cat>
            <numRef>
              <f>'Synthèse_Gasoil'!$E$5:$E$8</f>
            </numRef>
          </cat>
          <val>
            <numRef>
              <f>'Synthèse_Gasoil'!$F$4:$F$8</f>
            </numRef>
          </val>
        </ser>
        <dLbls>
          <numFmt formatCode="#,##0"/>
          <dLblPos val="outEnd"/>
          <showVal val="1"/>
        </dLbls>
        <gapWidth val="6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Site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Litres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3.xml><?xml version="1.0" encoding="utf-8"?>
<chartSpace xmlns="http://schemas.openxmlformats.org/drawingml/2006/chart">
  <style val="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Volume d'eau produit par site (m³)</a:t>
            </a:r>
          </a:p>
        </rich>
      </tx>
    </title>
    <plotArea>
      <barChart>
        <barDir val="col"/>
        <grouping val="clustered"/>
        <ser>
          <idx val="0"/>
          <order val="0"/>
          <spPr>
            <a:solidFill xmlns:a="http://schemas.openxmlformats.org/drawingml/2006/main">
              <a:srgbClr val="70AD47"/>
            </a:solidFill>
            <a:ln xmlns:a="http://schemas.openxmlformats.org/drawingml/2006/main">
              <a:solidFill>
                <a:srgbClr val="507E32"/>
              </a:solidFill>
              <a:prstDash val="solid"/>
            </a:ln>
          </spPr>
          <cat>
            <numRef>
              <f>'Synthèse_Eau'!$E$5:$E$8</f>
            </numRef>
          </cat>
          <val>
            <numRef>
              <f>'Synthèse_Eau'!$F$4:$F$8</f>
            </numRef>
          </val>
        </ser>
        <dLbls>
          <numFmt formatCode="#,##0.0"/>
          <dLblPos val="outEnd"/>
          <showVal val="1"/>
        </dLbls>
        <gapWidth val="6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Site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m³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4.xml><?xml version="1.0" encoding="utf-8"?>
<chartSpace xmlns="http://schemas.openxmlformats.org/drawingml/2006/chart">
  <style val="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Répartition gasoil par type de charge</a:t>
            </a:r>
          </a:p>
        </rich>
      </tx>
    </title>
    <plotArea>
      <pie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1F4E78"/>
              </a:solidFill>
              <a:ln xmlns:a="http://schemas.openxmlformats.org/drawingml/2006/main"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2E75B6"/>
              </a:solidFill>
              <a:ln xmlns:a="http://schemas.openxmlformats.org/drawingml/2006/main">
                <a:prstDash val="solid"/>
              </a:ln>
            </spPr>
          </dPt>
          <dPt>
            <idx val="2"/>
            <spPr>
              <a:solidFill xmlns:a="http://schemas.openxmlformats.org/drawingml/2006/main">
                <a:srgbClr val="ED7D31"/>
              </a:solidFill>
              <a:ln xmlns:a="http://schemas.openxmlformats.org/drawingml/2006/main">
                <a:prstDash val="solid"/>
              </a:ln>
            </spPr>
          </dPt>
          <dPt>
            <idx val="3"/>
            <spPr>
              <a:solidFill xmlns:a="http://schemas.openxmlformats.org/drawingml/2006/main">
                <a:srgbClr val="70AD47"/>
              </a:solidFill>
              <a:ln xmlns:a="http://schemas.openxmlformats.org/drawingml/2006/main">
                <a:prstDash val="solid"/>
              </a:ln>
            </spPr>
          </dPt>
          <cat>
            <numRef>
              <f>'Synthèse_Gasoil'!$E$13:$E$16</f>
            </numRef>
          </cat>
          <val>
            <numRef>
              <f>'Synthèse_Gasoil'!$F$13:$F$16</f>
            </numRef>
          </val>
        </ser>
        <dLbls>
          <showPercent val="1"/>
        </dLbls>
        <firstSliceAng val="0"/>
      </pie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Évolution du débit d'eau (m³/h)</a:t>
            </a:r>
          </a:p>
        </rich>
      </tx>
    </title>
    <plotArea>
      <lineChart>
        <grouping val="standard"/>
        <ser>
          <idx val="0"/>
          <order val="0"/>
          <tx>
            <strRef>
              <f>'Synthèse_Eau'!I4</f>
            </strRef>
          </tx>
          <spPr>
            <a:ln xmlns:a="http://schemas.openxmlformats.org/drawingml/2006/main" w="28000">
              <a:solidFill>
                <a:srgbClr val="70AD47"/>
              </a:solidFill>
              <a:prstDash val="solid"/>
            </a:ln>
          </spPr>
          <marker>
            <symbol val="diamond"/>
            <size val="7"/>
            <spPr>
              <a:solidFill xmlns:a="http://schemas.openxmlformats.org/drawingml/2006/main">
                <a:srgbClr val="507E32"/>
              </a:solidFill>
              <a:ln xmlns:a="http://schemas.openxmlformats.org/drawingml/2006/main">
                <a:prstDash val="solid"/>
              </a:ln>
            </spPr>
          </marker>
          <cat>
            <numRef>
              <f>'Synthèse_Eau'!$H$5:$H$34</f>
            </numRef>
          </cat>
          <val>
            <numRef>
              <f>'Synthèse_Eau'!$I$5:$I$34</f>
            </numRef>
          </val>
          <smooth val="1"/>
        </ser>
        <axId val="10"/>
        <axId val="100"/>
      </lineChart>
      <catAx>
        <axId val="10"/>
        <scaling>
          <orientation val="minMax"/>
        </scaling>
        <delete val="0"/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N° de relevé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m³/h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/Relationships>
</file>

<file path=xl/drawings/drawing1.xml><?xml version="1.0" encoding="utf-8"?>
<wsDr xmlns="http://schemas.openxmlformats.org/drawingml/2006/spreadsheetDrawing">
  <oneCellAnchor>
    <from>
      <col>1</col>
      <colOff>0</colOff>
      <row>10</row>
      <rowOff>0</rowOff>
    </from>
    <ext cx="576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3</col>
      <colOff>0</colOff>
      <row>10</row>
      <rowOff>0</rowOff>
    </from>
    <ext cx="504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5</col>
      <colOff>0</colOff>
      <row>10</row>
      <rowOff>0</rowOff>
    </from>
    <ext cx="5040000" cy="288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</col>
      <colOff>0</colOff>
      <row>26</row>
      <rowOff>0</rowOff>
    </from>
    <ext cx="5040000" cy="288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4</col>
      <colOff>0</colOff>
      <row>26</row>
      <rowOff>0</rowOff>
    </from>
    <ext cx="5760000" cy="288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Gasoil" displayName="tblGasoil" ref="A3:Y103" headerRowCount="1">
  <autoFilter ref="A3:Y103"/>
  <tableColumns count="25">
    <tableColumn id="1" name="N°"/>
    <tableColumn id="2" name="Date"/>
    <tableColumn id="3" name="Site"/>
    <tableColumn id="4" name="Code équipement"/>
    <tableColumn id="5" name="Type de charge"/>
    <tableColumn id="6" name="Heure début"/>
    <tableColumn id="7" name="Heure fin"/>
    <tableColumn id="8" name="Compteur début (h)"/>
    <tableColumn id="9" name="Compteur fin (h)"/>
    <tableColumn id="10" name="Durée mesurée (h)"/>
    <tableColumn id="11" name="Niveau initial référence"/>
    <tableColumn id="12" name="Niveau final avant appoint"/>
    <tableColumn id="13" name="Gasoil ajouté (L)"/>
    <tableColumn id="14" name="Autres ajouts (L)"/>
    <tableColumn id="15" name="Fuites / pertes (L)"/>
    <tableColumn id="16" name="Conso corrigée (L)"/>
    <tableColumn id="17" name="Conso moyenne (L/h)"/>
    <tableColumn id="18" name="Charge estimée (%)"/>
    <tableColumn id="19" name="Énergie produite (kWh)"/>
    <tableColumn id="20" name="Conso spécifique (L/kWh)"/>
    <tableColumn id="21" name="État / conditions"/>
    <tableColumn id="22" name="Opérateur"/>
    <tableColumn id="23" name="Observations / anomalies"/>
    <tableColumn id="24" name="Vérif. niveau identique ?"/>
    <tableColumn id="25" name="Validation responsable"/>
  </tableColumns>
  <tableStyleInfo name="TableStyleMedium2" showRowStripes="1" showColumnStripes="0"/>
</table>
</file>

<file path=xl/tables/table2.xml><?xml version="1.0" encoding="utf-8"?>
<table xmlns="http://schemas.openxmlformats.org/spreadsheetml/2006/main" id="2" name="tblEau" displayName="tblEau" ref="A3:N203" headerRowCount="1">
  <autoFilter ref="A3:N203"/>
  <tableColumns count="14">
    <tableColumn id="1" name="N°"/>
    <tableColumn id="2" name="Date"/>
    <tableColumn id="3" name="Heure"/>
    <tableColumn id="4" name="Site"/>
    <tableColumn id="5" name="Débitmètre / conduite"/>
    <tableColumn id="6" name="Index début"/>
    <tableColumn id="7" name="Index fin"/>
    <tableColumn id="8" name="Unité"/>
    <tableColumn id="9" name="Volume"/>
    <tableColumn id="10" name="Durée (h)"/>
    <tableColumn id="11" name="Débit moyen (m³/h)"/>
    <tableColumn id="12" name="Énergie utilisée (kWh)"/>
    <tableColumn id="13" name="Source d'énergie"/>
    <tableColumn id="14" name="Observations"/>
  </tableColumns>
  <tableStyleInfo name="TableStyleMedium2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B2:D13"/>
  <sheetViews>
    <sheetView workbookViewId="0">
      <selection activeCell="A1" sqref="A1"/>
    </sheetView>
  </sheetViews>
  <sheetFormatPr baseColWidth="8" defaultRowHeight="15" outlineLevelCol="0"/>
  <cols>
    <col width="3" customWidth="1" min="1" max="1"/>
    <col width="42" customWidth="1" min="2" max="2"/>
    <col width="3" customWidth="1" min="3" max="3"/>
    <col width="25" customWidth="1" min="4" max="4"/>
  </cols>
  <sheetData>
    <row r="2" ht="30" customHeight="1">
      <c r="B2" s="1" t="inlineStr">
        <is>
          <t>PARAMÈTRES GÉNÉRAUX</t>
        </is>
      </c>
      <c r="C2" s="2" t="n"/>
      <c r="D2" s="2" t="n"/>
    </row>
    <row r="4" ht="20" customHeight="1">
      <c r="B4" s="3" t="inlineStr">
        <is>
          <t>Nom de l'entreprise</t>
        </is>
      </c>
      <c r="D4" s="4" t="inlineStr">
        <is>
          <t>Mon Entreprise</t>
        </is>
      </c>
    </row>
    <row r="5" ht="20" customHeight="1">
      <c r="B5" s="3" t="inlineStr">
        <is>
          <t>Site principal</t>
        </is>
      </c>
      <c r="D5" s="4" t="inlineStr">
        <is>
          <t>Site A</t>
        </is>
      </c>
    </row>
    <row r="6" ht="20" customHeight="1">
      <c r="B6" s="3" t="inlineStr">
        <is>
          <t>Devise</t>
        </is>
      </c>
      <c r="D6" s="4" t="inlineStr">
        <is>
          <t>FCFA</t>
        </is>
      </c>
    </row>
    <row r="7" ht="20" customHeight="1">
      <c r="B7" s="3" t="inlineStr">
        <is>
          <t>Prix du gasoil (/L)</t>
        </is>
      </c>
      <c r="D7" s="5" t="n">
        <v>750</v>
      </c>
    </row>
    <row r="8" ht="20" customHeight="1">
      <c r="B8" s="3" t="inlineStr">
        <is>
          <t>Facteur CO₂ gasoil (kg/L)</t>
        </is>
      </c>
      <c r="D8" s="6" t="n">
        <v>2.68</v>
      </c>
    </row>
    <row r="9" ht="20" customHeight="1">
      <c r="B9" s="3" t="inlineStr">
        <is>
          <t>Seuil alerte consommation (L/h)</t>
        </is>
      </c>
      <c r="D9" s="6" t="n">
        <v>5</v>
      </c>
    </row>
    <row r="10" ht="20" customHeight="1">
      <c r="B10" s="3" t="inlineStr">
        <is>
          <t>Seuil alerte charge (%)</t>
        </is>
      </c>
      <c r="D10" s="7" t="n">
        <v>30</v>
      </c>
    </row>
    <row r="11" ht="20" customHeight="1">
      <c r="B11" s="3" t="inlineStr">
        <is>
          <t>Seuil alerte fuite (L)</t>
        </is>
      </c>
      <c r="D11" s="6" t="n">
        <v>1</v>
      </c>
    </row>
    <row r="13">
      <c r="B13" s="8" t="inlineStr">
        <is>
          <t>Ces paramètres alimentent les formulas des synthèses (prix, CO₂) et les seuils d'alerte.</t>
        </is>
      </c>
    </row>
  </sheetData>
  <mergeCells count="1">
    <mergeCell ref="B2:D2"/>
  </mergeCells>
  <pageMargins left="0.75" right="0.75" top="1" bottom="1" header="0.5" footer="0.5"/>
  <pageSetup orientation="landscape" fitToHeight="0" fitToWidth="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A1" sqref="A1"/>
    </sheetView>
  </sheetViews>
  <sheetFormatPr baseColWidth="8" defaultRowHeight="15" outlineLevelCol="0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 ht="26" customHeight="1">
      <c r="A1" s="1" t="inlineStr">
        <is>
          <t>RÉFÉRENTIELS — LISTES DE VALEURS</t>
        </is>
      </c>
      <c r="B1" s="2" t="n"/>
      <c r="C1" s="2" t="n"/>
      <c r="D1" s="2" t="n"/>
      <c r="E1" s="2" t="n"/>
      <c r="F1" s="2" t="n"/>
      <c r="G1" s="2" t="n"/>
      <c r="H1" s="2" t="n"/>
    </row>
    <row r="3" ht="30" customHeight="1">
      <c r="A3" s="9" t="inlineStr">
        <is>
          <t>Sites</t>
        </is>
      </c>
      <c r="B3" s="9" t="inlineStr">
        <is>
          <t>Équipements</t>
        </is>
      </c>
      <c r="C3" s="9" t="inlineStr">
        <is>
          <t>Opérateurs</t>
        </is>
      </c>
      <c r="D3" s="9" t="inlineStr">
        <is>
          <t>Types de charge</t>
        </is>
      </c>
      <c r="E3" s="9" t="inlineStr">
        <is>
          <t>Débitmètres</t>
        </is>
      </c>
      <c r="F3" s="9" t="inlineStr">
        <is>
          <t>Unités eau</t>
        </is>
      </c>
      <c r="G3" s="9" t="inlineStr">
        <is>
          <t>Oui/Non</t>
        </is>
      </c>
      <c r="H3" s="9" t="inlineStr">
        <is>
          <t>Sources d'énergie</t>
        </is>
      </c>
    </row>
    <row r="4">
      <c r="A4" s="10" t="inlineStr">
        <is>
          <t>Site A</t>
        </is>
      </c>
      <c r="B4" s="10" t="inlineStr">
        <is>
          <t>GE-01</t>
        </is>
      </c>
      <c r="C4" s="10" t="inlineStr">
        <is>
          <t>Opérateur 1</t>
        </is>
      </c>
      <c r="D4" s="10" t="inlineStr">
        <is>
          <t>Pompage</t>
        </is>
      </c>
      <c r="E4" s="10" t="inlineStr">
        <is>
          <t>DN-01</t>
        </is>
      </c>
      <c r="F4" s="10" t="inlineStr">
        <is>
          <t>m³</t>
        </is>
      </c>
      <c r="G4" s="10" t="inlineStr">
        <is>
          <t>Oui</t>
        </is>
      </c>
      <c r="H4" s="10" t="inlineStr">
        <is>
          <t>Gasoil</t>
        </is>
      </c>
    </row>
    <row r="5">
      <c r="A5" s="10" t="inlineStr">
        <is>
          <t>Site B</t>
        </is>
      </c>
      <c r="B5" s="10" t="inlineStr">
        <is>
          <t>GE-02</t>
        </is>
      </c>
      <c r="C5" s="10" t="inlineStr">
        <is>
          <t>Opérateur 2</t>
        </is>
      </c>
      <c r="D5" s="10" t="inlineStr">
        <is>
          <t>Éclairage</t>
        </is>
      </c>
      <c r="E5" s="10" t="inlineStr">
        <is>
          <t>DN-02</t>
        </is>
      </c>
      <c r="F5" s="10" t="inlineStr">
        <is>
          <t>L</t>
        </is>
      </c>
      <c r="G5" s="10" t="inlineStr">
        <is>
          <t>Non</t>
        </is>
      </c>
      <c r="H5" s="10" t="inlineStr">
        <is>
          <t>Solaire</t>
        </is>
      </c>
    </row>
    <row r="6">
      <c r="A6" s="10" t="inlineStr">
        <is>
          <t>Site C</t>
        </is>
      </c>
      <c r="B6" s="10" t="inlineStr">
        <is>
          <t>GE-03</t>
        </is>
      </c>
      <c r="C6" s="10" t="inlineStr">
        <is>
          <t>Opérateur 3</t>
        </is>
      </c>
      <c r="D6" s="10" t="inlineStr">
        <is>
          <t>Mixte</t>
        </is>
      </c>
      <c r="E6" s="10" t="inlineStr">
        <is>
          <t>DN-03</t>
        </is>
      </c>
      <c r="H6" s="10" t="inlineStr">
        <is>
          <t>Réseau</t>
        </is>
      </c>
    </row>
    <row r="7">
      <c r="D7" s="10" t="inlineStr">
        <is>
          <t>Autre</t>
        </is>
      </c>
      <c r="H7" s="10" t="inlineStr">
        <is>
          <t>Mixte</t>
        </is>
      </c>
    </row>
    <row r="14">
      <c r="A14" s="8" t="inlineStr">
        <is>
          <t>Ajoutez vos propres valeurs dans les colonnes ci-dessus : les menus déroulants des feuilles de saisie s'actualisent.</t>
        </is>
      </c>
    </row>
  </sheetData>
  <mergeCells count="1">
    <mergeCell ref="A1:H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 fitToPage="1"/>
  </sheetPr>
  <dimension ref="A1:Y103"/>
  <sheetViews>
    <sheetView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 outlineLevelCol="0"/>
  <cols>
    <col width="5" customWidth="1" min="1" max="1"/>
    <col width="11" customWidth="1" min="2" max="2"/>
    <col width="10" customWidth="1" min="3" max="3"/>
    <col width="13" customWidth="1" min="4" max="4"/>
    <col width="13" customWidth="1" min="5" max="5"/>
    <col width="10" customWidth="1" min="6" max="6"/>
    <col width="10" customWidth="1" min="7" max="7"/>
    <col width="12" customWidth="1" min="8" max="8"/>
    <col width="12" customWidth="1" min="9" max="9"/>
    <col width="11" customWidth="1" min="10" max="10"/>
    <col width="13" customWidth="1" min="11" max="11"/>
    <col width="13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1" customWidth="1" min="18" max="18"/>
    <col width="13" customWidth="1" min="19" max="19"/>
    <col width="13" customWidth="1" min="20" max="20"/>
    <col width="16" customWidth="1" min="21" max="21"/>
    <col width="13" customWidth="1" min="22" max="22"/>
    <col width="24" customWidth="1" min="23" max="23"/>
    <col width="13" customWidth="1" min="24" max="24"/>
    <col width="13" customWidth="1" min="25" max="25"/>
  </cols>
  <sheetData>
    <row r="1" ht="26" customHeight="1">
      <c r="A1" s="1" t="inlineStr">
        <is>
          <t>SUIVI DE LA CONSOMMATION DE GASOIL — GROUPE ÉLECTROGÈNE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</row>
    <row r="2">
      <c r="A2" s="8" t="inlineStr">
        <is>
          <t>Méthode « plein à plein » : faire le plein, relever le compteur, consigner chaque ajout, replein en fin d'essai.</t>
        </is>
      </c>
    </row>
    <row r="3" ht="42" customHeight="1">
      <c r="A3" s="9" t="inlineStr">
        <is>
          <t>N°</t>
        </is>
      </c>
      <c r="B3" s="9" t="inlineStr">
        <is>
          <t>Date</t>
        </is>
      </c>
      <c r="C3" s="9" t="inlineStr">
        <is>
          <t>Site</t>
        </is>
      </c>
      <c r="D3" s="9" t="inlineStr">
        <is>
          <t>Code équipement</t>
        </is>
      </c>
      <c r="E3" s="9" t="inlineStr">
        <is>
          <t>Type de charge</t>
        </is>
      </c>
      <c r="F3" s="9" t="inlineStr">
        <is>
          <t>Heure début</t>
        </is>
      </c>
      <c r="G3" s="9" t="inlineStr">
        <is>
          <t>Heure fin</t>
        </is>
      </c>
      <c r="H3" s="9" t="inlineStr">
        <is>
          <t>Compteur début (h)</t>
        </is>
      </c>
      <c r="I3" s="9" t="inlineStr">
        <is>
          <t>Compteur fin (h)</t>
        </is>
      </c>
      <c r="J3" s="9" t="inlineStr">
        <is>
          <t>Durée mesurée (h)</t>
        </is>
      </c>
      <c r="K3" s="9" t="inlineStr">
        <is>
          <t>Niveau initial référence</t>
        </is>
      </c>
      <c r="L3" s="9" t="inlineStr">
        <is>
          <t>Niveau final avant appoint</t>
        </is>
      </c>
      <c r="M3" s="9" t="inlineStr">
        <is>
          <t>Gasoil ajouté (L)</t>
        </is>
      </c>
      <c r="N3" s="9" t="inlineStr">
        <is>
          <t>Autres ajouts (L)</t>
        </is>
      </c>
      <c r="O3" s="9" t="inlineStr">
        <is>
          <t>Fuites / pertes (L)</t>
        </is>
      </c>
      <c r="P3" s="9" t="inlineStr">
        <is>
          <t>Conso corrigée (L)</t>
        </is>
      </c>
      <c r="Q3" s="9" t="inlineStr">
        <is>
          <t>Conso moyenne (L/h)</t>
        </is>
      </c>
      <c r="R3" s="9" t="inlineStr">
        <is>
          <t>Charge estimée (%)</t>
        </is>
      </c>
      <c r="S3" s="9" t="inlineStr">
        <is>
          <t>Énergie produite (kWh)</t>
        </is>
      </c>
      <c r="T3" s="9" t="inlineStr">
        <is>
          <t>Conso spécifique (L/kWh)</t>
        </is>
      </c>
      <c r="U3" s="9" t="inlineStr">
        <is>
          <t>État / conditions</t>
        </is>
      </c>
      <c r="V3" s="9" t="inlineStr">
        <is>
          <t>Opérateur</t>
        </is>
      </c>
      <c r="W3" s="9" t="inlineStr">
        <is>
          <t>Observations / anomalies</t>
        </is>
      </c>
      <c r="X3" s="9" t="inlineStr">
        <is>
          <t>Vérif. niveau identique ?</t>
        </is>
      </c>
      <c r="Y3" s="9" t="inlineStr">
        <is>
          <t>Validation responsable</t>
        </is>
      </c>
    </row>
    <row r="4">
      <c r="A4" s="11">
        <f>IF(B4="","",ROW()-3)</f>
        <v/>
      </c>
      <c r="B4" s="12" t="n"/>
      <c r="C4" s="10" t="n"/>
      <c r="D4" s="10" t="n"/>
      <c r="E4" s="10" t="n"/>
      <c r="F4" s="13" t="n"/>
      <c r="G4" s="13" t="n"/>
      <c r="H4" s="14" t="n"/>
      <c r="I4" s="14" t="n"/>
      <c r="J4" s="15">
        <f>IF(OR(H4="",I4=""),"",I4-H4)</f>
        <v/>
      </c>
      <c r="K4" s="14" t="n"/>
      <c r="L4" s="14" t="n"/>
      <c r="M4" s="14" t="n"/>
      <c r="N4" s="14" t="n"/>
      <c r="O4" s="14" t="n"/>
      <c r="P4" s="15">
        <f>IF(M4="","",M4+IF(N4="",0,N4)-IF(O4="",0,O4))</f>
        <v/>
      </c>
      <c r="Q4" s="15">
        <f>IFERROR(P4/J4,"")</f>
        <v/>
      </c>
      <c r="R4" s="16" t="n"/>
      <c r="S4" s="14" t="n"/>
      <c r="T4" s="17">
        <f>IFERROR(P4/S4,"")</f>
        <v/>
      </c>
      <c r="U4" s="10" t="n"/>
      <c r="V4" s="10" t="n"/>
      <c r="W4" s="10" t="n"/>
      <c r="X4" s="10" t="n"/>
      <c r="Y4" s="10" t="n"/>
    </row>
    <row r="5">
      <c r="A5" s="11">
        <f>IF(B5="","",ROW()-3)</f>
        <v/>
      </c>
      <c r="B5" s="12" t="n"/>
      <c r="C5" s="10" t="n"/>
      <c r="D5" s="10" t="n"/>
      <c r="E5" s="10" t="n"/>
      <c r="F5" s="13" t="n"/>
      <c r="G5" s="13" t="n"/>
      <c r="H5" s="14" t="n"/>
      <c r="I5" s="14" t="n"/>
      <c r="J5" s="15">
        <f>IF(OR(H5="",I5=""),"",I5-H5)</f>
        <v/>
      </c>
      <c r="K5" s="14" t="n"/>
      <c r="L5" s="14" t="n"/>
      <c r="M5" s="14" t="n"/>
      <c r="N5" s="14" t="n"/>
      <c r="O5" s="14" t="n"/>
      <c r="P5" s="15">
        <f>IF(M5="","",M5+IF(N5="",0,N5)-IF(O5="",0,O5))</f>
        <v/>
      </c>
      <c r="Q5" s="15">
        <f>IFERROR(P5/J5,"")</f>
        <v/>
      </c>
      <c r="R5" s="16" t="n"/>
      <c r="S5" s="14" t="n"/>
      <c r="T5" s="17">
        <f>IFERROR(P5/S5,"")</f>
        <v/>
      </c>
      <c r="U5" s="10" t="n"/>
      <c r="V5" s="10" t="n"/>
      <c r="W5" s="10" t="n"/>
      <c r="X5" s="10" t="n"/>
      <c r="Y5" s="10" t="n"/>
    </row>
    <row r="6">
      <c r="A6" s="11">
        <f>IF(B6="","",ROW()-3)</f>
        <v/>
      </c>
      <c r="B6" s="12" t="n"/>
      <c r="C6" s="10" t="n"/>
      <c r="D6" s="10" t="n"/>
      <c r="E6" s="10" t="n"/>
      <c r="F6" s="13" t="n"/>
      <c r="G6" s="13" t="n"/>
      <c r="H6" s="14" t="n"/>
      <c r="I6" s="14" t="n"/>
      <c r="J6" s="15">
        <f>IF(OR(H6="",I6=""),"",I6-H6)</f>
        <v/>
      </c>
      <c r="K6" s="14" t="n"/>
      <c r="L6" s="14" t="n"/>
      <c r="M6" s="14" t="n"/>
      <c r="N6" s="14" t="n"/>
      <c r="O6" s="14" t="n"/>
      <c r="P6" s="15">
        <f>IF(M6="","",M6+IF(N6="",0,N6)-IF(O6="",0,O6))</f>
        <v/>
      </c>
      <c r="Q6" s="15">
        <f>IFERROR(P6/J6,"")</f>
        <v/>
      </c>
      <c r="R6" s="16" t="n"/>
      <c r="S6" s="14" t="n"/>
      <c r="T6" s="17">
        <f>IFERROR(P6/S6,"")</f>
        <v/>
      </c>
      <c r="U6" s="10" t="n"/>
      <c r="V6" s="10" t="n"/>
      <c r="W6" s="10" t="n"/>
      <c r="X6" s="10" t="n"/>
      <c r="Y6" s="10" t="n"/>
    </row>
    <row r="7">
      <c r="A7" s="11">
        <f>IF(B7="","",ROW()-3)</f>
        <v/>
      </c>
      <c r="B7" s="12" t="n"/>
      <c r="C7" s="10" t="n"/>
      <c r="D7" s="10" t="n"/>
      <c r="E7" s="10" t="n"/>
      <c r="F7" s="13" t="n"/>
      <c r="G7" s="13" t="n"/>
      <c r="H7" s="14" t="n"/>
      <c r="I7" s="14" t="n"/>
      <c r="J7" s="15">
        <f>IF(OR(H7="",I7=""),"",I7-H7)</f>
        <v/>
      </c>
      <c r="K7" s="14" t="n"/>
      <c r="L7" s="14" t="n"/>
      <c r="M7" s="14" t="n"/>
      <c r="N7" s="14" t="n"/>
      <c r="O7" s="14" t="n"/>
      <c r="P7" s="15">
        <f>IF(M7="","",M7+IF(N7="",0,N7)-IF(O7="",0,O7))</f>
        <v/>
      </c>
      <c r="Q7" s="15">
        <f>IFERROR(P7/J7,"")</f>
        <v/>
      </c>
      <c r="R7" s="16" t="n"/>
      <c r="S7" s="14" t="n"/>
      <c r="T7" s="17">
        <f>IFERROR(P7/S7,"")</f>
        <v/>
      </c>
      <c r="U7" s="10" t="n"/>
      <c r="V7" s="10" t="n"/>
      <c r="W7" s="10" t="n"/>
      <c r="X7" s="10" t="n"/>
      <c r="Y7" s="10" t="n"/>
    </row>
    <row r="8">
      <c r="A8" s="11">
        <f>IF(B8="","",ROW()-3)</f>
        <v/>
      </c>
      <c r="B8" s="12" t="n"/>
      <c r="C8" s="10" t="n"/>
      <c r="D8" s="10" t="n"/>
      <c r="E8" s="10" t="n"/>
      <c r="F8" s="13" t="n"/>
      <c r="G8" s="13" t="n"/>
      <c r="H8" s="14" t="n"/>
      <c r="I8" s="14" t="n"/>
      <c r="J8" s="15">
        <f>IF(OR(H8="",I8=""),"",I8-H8)</f>
        <v/>
      </c>
      <c r="K8" s="14" t="n"/>
      <c r="L8" s="14" t="n"/>
      <c r="M8" s="14" t="n"/>
      <c r="N8" s="14" t="n"/>
      <c r="O8" s="14" t="n"/>
      <c r="P8" s="15">
        <f>IF(M8="","",M8+IF(N8="",0,N8)-IF(O8="",0,O8))</f>
        <v/>
      </c>
      <c r="Q8" s="15">
        <f>IFERROR(P8/J8,"")</f>
        <v/>
      </c>
      <c r="R8" s="16" t="n"/>
      <c r="S8" s="14" t="n"/>
      <c r="T8" s="17">
        <f>IFERROR(P8/S8,"")</f>
        <v/>
      </c>
      <c r="U8" s="10" t="n"/>
      <c r="V8" s="10" t="n"/>
      <c r="W8" s="10" t="n"/>
      <c r="X8" s="10" t="n"/>
      <c r="Y8" s="10" t="n"/>
    </row>
    <row r="9">
      <c r="A9" s="11">
        <f>IF(B9="","",ROW()-3)</f>
        <v/>
      </c>
      <c r="B9" s="12" t="n"/>
      <c r="C9" s="10" t="n"/>
      <c r="D9" s="10" t="n"/>
      <c r="E9" s="10" t="n"/>
      <c r="F9" s="13" t="n"/>
      <c r="G9" s="13" t="n"/>
      <c r="H9" s="14" t="n"/>
      <c r="I9" s="14" t="n"/>
      <c r="J9" s="15">
        <f>IF(OR(H9="",I9=""),"",I9-H9)</f>
        <v/>
      </c>
      <c r="K9" s="14" t="n"/>
      <c r="L9" s="14" t="n"/>
      <c r="M9" s="14" t="n"/>
      <c r="N9" s="14" t="n"/>
      <c r="O9" s="14" t="n"/>
      <c r="P9" s="15">
        <f>IF(M9="","",M9+IF(N9="",0,N9)-IF(O9="",0,O9))</f>
        <v/>
      </c>
      <c r="Q9" s="15">
        <f>IFERROR(P9/J9,"")</f>
        <v/>
      </c>
      <c r="R9" s="16" t="n"/>
      <c r="S9" s="14" t="n"/>
      <c r="T9" s="17">
        <f>IFERROR(P9/S9,"")</f>
        <v/>
      </c>
      <c r="U9" s="10" t="n"/>
      <c r="V9" s="10" t="n"/>
      <c r="W9" s="10" t="n"/>
      <c r="X9" s="10" t="n"/>
      <c r="Y9" s="10" t="n"/>
    </row>
    <row r="10">
      <c r="A10" s="11">
        <f>IF(B10="","",ROW()-3)</f>
        <v/>
      </c>
      <c r="B10" s="12" t="n"/>
      <c r="C10" s="10" t="n"/>
      <c r="D10" s="10" t="n"/>
      <c r="E10" s="10" t="n"/>
      <c r="F10" s="13" t="n"/>
      <c r="G10" s="13" t="n"/>
      <c r="H10" s="14" t="n"/>
      <c r="I10" s="14" t="n"/>
      <c r="J10" s="15">
        <f>IF(OR(H10="",I10=""),"",I10-H10)</f>
        <v/>
      </c>
      <c r="K10" s="14" t="n"/>
      <c r="L10" s="14" t="n"/>
      <c r="M10" s="14" t="n"/>
      <c r="N10" s="14" t="n"/>
      <c r="O10" s="14" t="n"/>
      <c r="P10" s="15">
        <f>IF(M10="","",M10+IF(N10="",0,N10)-IF(O10="",0,O10))</f>
        <v/>
      </c>
      <c r="Q10" s="15">
        <f>IFERROR(P10/J10,"")</f>
        <v/>
      </c>
      <c r="R10" s="16" t="n"/>
      <c r="S10" s="14" t="n"/>
      <c r="T10" s="17">
        <f>IFERROR(P10/S10,"")</f>
        <v/>
      </c>
      <c r="U10" s="10" t="n"/>
      <c r="V10" s="10" t="n"/>
      <c r="W10" s="10" t="n"/>
      <c r="X10" s="10" t="n"/>
      <c r="Y10" s="10" t="n"/>
    </row>
    <row r="11">
      <c r="A11" s="11">
        <f>IF(B11="","",ROW()-3)</f>
        <v/>
      </c>
      <c r="B11" s="12" t="n"/>
      <c r="C11" s="10" t="n"/>
      <c r="D11" s="10" t="n"/>
      <c r="E11" s="10" t="n"/>
      <c r="F11" s="13" t="n"/>
      <c r="G11" s="13" t="n"/>
      <c r="H11" s="14" t="n"/>
      <c r="I11" s="14" t="n"/>
      <c r="J11" s="15">
        <f>IF(OR(H11="",I11=""),"",I11-H11)</f>
        <v/>
      </c>
      <c r="K11" s="14" t="n"/>
      <c r="L11" s="14" t="n"/>
      <c r="M11" s="14" t="n"/>
      <c r="N11" s="14" t="n"/>
      <c r="O11" s="14" t="n"/>
      <c r="P11" s="15">
        <f>IF(M11="","",M11+IF(N11="",0,N11)-IF(O11="",0,O11))</f>
        <v/>
      </c>
      <c r="Q11" s="15">
        <f>IFERROR(P11/J11,"")</f>
        <v/>
      </c>
      <c r="R11" s="16" t="n"/>
      <c r="S11" s="14" t="n"/>
      <c r="T11" s="17">
        <f>IFERROR(P11/S11,"")</f>
        <v/>
      </c>
      <c r="U11" s="10" t="n"/>
      <c r="V11" s="10" t="n"/>
      <c r="W11" s="10" t="n"/>
      <c r="X11" s="10" t="n"/>
      <c r="Y11" s="10" t="n"/>
    </row>
    <row r="12">
      <c r="A12" s="11">
        <f>IF(B12="","",ROW()-3)</f>
        <v/>
      </c>
      <c r="B12" s="12" t="n"/>
      <c r="C12" s="10" t="n"/>
      <c r="D12" s="10" t="n"/>
      <c r="E12" s="10" t="n"/>
      <c r="F12" s="13" t="n"/>
      <c r="G12" s="13" t="n"/>
      <c r="H12" s="14" t="n"/>
      <c r="I12" s="14" t="n"/>
      <c r="J12" s="15">
        <f>IF(OR(H12="",I12=""),"",I12-H12)</f>
        <v/>
      </c>
      <c r="K12" s="14" t="n"/>
      <c r="L12" s="14" t="n"/>
      <c r="M12" s="14" t="n"/>
      <c r="N12" s="14" t="n"/>
      <c r="O12" s="14" t="n"/>
      <c r="P12" s="15">
        <f>IF(M12="","",M12+IF(N12="",0,N12)-IF(O12="",0,O12))</f>
        <v/>
      </c>
      <c r="Q12" s="15">
        <f>IFERROR(P12/J12,"")</f>
        <v/>
      </c>
      <c r="R12" s="16" t="n"/>
      <c r="S12" s="14" t="n"/>
      <c r="T12" s="17">
        <f>IFERROR(P12/S12,"")</f>
        <v/>
      </c>
      <c r="U12" s="10" t="n"/>
      <c r="V12" s="10" t="n"/>
      <c r="W12" s="10" t="n"/>
      <c r="X12" s="10" t="n"/>
      <c r="Y12" s="10" t="n"/>
    </row>
    <row r="13">
      <c r="A13" s="11">
        <f>IF(B13="","",ROW()-3)</f>
        <v/>
      </c>
      <c r="B13" s="12" t="n"/>
      <c r="C13" s="10" t="n"/>
      <c r="D13" s="10" t="n"/>
      <c r="E13" s="10" t="n"/>
      <c r="F13" s="13" t="n"/>
      <c r="G13" s="13" t="n"/>
      <c r="H13" s="14" t="n"/>
      <c r="I13" s="14" t="n"/>
      <c r="J13" s="15">
        <f>IF(OR(H13="",I13=""),"",I13-H13)</f>
        <v/>
      </c>
      <c r="K13" s="14" t="n"/>
      <c r="L13" s="14" t="n"/>
      <c r="M13" s="14" t="n"/>
      <c r="N13" s="14" t="n"/>
      <c r="O13" s="14" t="n"/>
      <c r="P13" s="15">
        <f>IF(M13="","",M13+IF(N13="",0,N13)-IF(O13="",0,O13))</f>
        <v/>
      </c>
      <c r="Q13" s="15">
        <f>IFERROR(P13/J13,"")</f>
        <v/>
      </c>
      <c r="R13" s="16" t="n"/>
      <c r="S13" s="14" t="n"/>
      <c r="T13" s="17">
        <f>IFERROR(P13/S13,"")</f>
        <v/>
      </c>
      <c r="U13" s="10" t="n"/>
      <c r="V13" s="10" t="n"/>
      <c r="W13" s="10" t="n"/>
      <c r="X13" s="10" t="n"/>
      <c r="Y13" s="10" t="n"/>
    </row>
    <row r="14">
      <c r="A14" s="11">
        <f>IF(B14="","",ROW()-3)</f>
        <v/>
      </c>
      <c r="B14" s="12" t="n"/>
      <c r="C14" s="10" t="n"/>
      <c r="D14" s="10" t="n"/>
      <c r="E14" s="10" t="n"/>
      <c r="F14" s="13" t="n"/>
      <c r="G14" s="13" t="n"/>
      <c r="H14" s="14" t="n"/>
      <c r="I14" s="14" t="n"/>
      <c r="J14" s="15">
        <f>IF(OR(H14="",I14=""),"",I14-H14)</f>
        <v/>
      </c>
      <c r="K14" s="14" t="n"/>
      <c r="L14" s="14" t="n"/>
      <c r="M14" s="14" t="n"/>
      <c r="N14" s="14" t="n"/>
      <c r="O14" s="14" t="n"/>
      <c r="P14" s="15">
        <f>IF(M14="","",M14+IF(N14="",0,N14)-IF(O14="",0,O14))</f>
        <v/>
      </c>
      <c r="Q14" s="15">
        <f>IFERROR(P14/J14,"")</f>
        <v/>
      </c>
      <c r="R14" s="16" t="n"/>
      <c r="S14" s="14" t="n"/>
      <c r="T14" s="17">
        <f>IFERROR(P14/S14,"")</f>
        <v/>
      </c>
      <c r="U14" s="10" t="n"/>
      <c r="V14" s="10" t="n"/>
      <c r="W14" s="10" t="n"/>
      <c r="X14" s="10" t="n"/>
      <c r="Y14" s="10" t="n"/>
    </row>
    <row r="15">
      <c r="A15" s="11">
        <f>IF(B15="","",ROW()-3)</f>
        <v/>
      </c>
      <c r="B15" s="12" t="n"/>
      <c r="C15" s="10" t="n"/>
      <c r="D15" s="10" t="n"/>
      <c r="E15" s="10" t="n"/>
      <c r="F15" s="13" t="n"/>
      <c r="G15" s="13" t="n"/>
      <c r="H15" s="14" t="n"/>
      <c r="I15" s="14" t="n"/>
      <c r="J15" s="15">
        <f>IF(OR(H15="",I15=""),"",I15-H15)</f>
        <v/>
      </c>
      <c r="K15" s="14" t="n"/>
      <c r="L15" s="14" t="n"/>
      <c r="M15" s="14" t="n"/>
      <c r="N15" s="14" t="n"/>
      <c r="O15" s="14" t="n"/>
      <c r="P15" s="15">
        <f>IF(M15="","",M15+IF(N15="",0,N15)-IF(O15="",0,O15))</f>
        <v/>
      </c>
      <c r="Q15" s="15">
        <f>IFERROR(P15/J15,"")</f>
        <v/>
      </c>
      <c r="R15" s="16" t="n"/>
      <c r="S15" s="14" t="n"/>
      <c r="T15" s="17">
        <f>IFERROR(P15/S15,"")</f>
        <v/>
      </c>
      <c r="U15" s="10" t="n"/>
      <c r="V15" s="10" t="n"/>
      <c r="W15" s="10" t="n"/>
      <c r="X15" s="10" t="n"/>
      <c r="Y15" s="10" t="n"/>
    </row>
    <row r="16">
      <c r="A16" s="11">
        <f>IF(B16="","",ROW()-3)</f>
        <v/>
      </c>
      <c r="B16" s="12" t="n"/>
      <c r="C16" s="10" t="n"/>
      <c r="D16" s="10" t="n"/>
      <c r="E16" s="10" t="n"/>
      <c r="F16" s="13" t="n"/>
      <c r="G16" s="13" t="n"/>
      <c r="H16" s="14" t="n"/>
      <c r="I16" s="14" t="n"/>
      <c r="J16" s="15">
        <f>IF(OR(H16="",I16=""),"",I16-H16)</f>
        <v/>
      </c>
      <c r="K16" s="14" t="n"/>
      <c r="L16" s="14" t="n"/>
      <c r="M16" s="14" t="n"/>
      <c r="N16" s="14" t="n"/>
      <c r="O16" s="14" t="n"/>
      <c r="P16" s="15">
        <f>IF(M16="","",M16+IF(N16="",0,N16)-IF(O16="",0,O16))</f>
        <v/>
      </c>
      <c r="Q16" s="15">
        <f>IFERROR(P16/J16,"")</f>
        <v/>
      </c>
      <c r="R16" s="16" t="n"/>
      <c r="S16" s="14" t="n"/>
      <c r="T16" s="17">
        <f>IFERROR(P16/S16,"")</f>
        <v/>
      </c>
      <c r="U16" s="10" t="n"/>
      <c r="V16" s="10" t="n"/>
      <c r="W16" s="10" t="n"/>
      <c r="X16" s="10" t="n"/>
      <c r="Y16" s="10" t="n"/>
    </row>
    <row r="17">
      <c r="A17" s="11">
        <f>IF(B17="","",ROW()-3)</f>
        <v/>
      </c>
      <c r="B17" s="12" t="n"/>
      <c r="C17" s="10" t="n"/>
      <c r="D17" s="10" t="n"/>
      <c r="E17" s="10" t="n"/>
      <c r="F17" s="13" t="n"/>
      <c r="G17" s="13" t="n"/>
      <c r="H17" s="14" t="n"/>
      <c r="I17" s="14" t="n"/>
      <c r="J17" s="15">
        <f>IF(OR(H17="",I17=""),"",I17-H17)</f>
        <v/>
      </c>
      <c r="K17" s="14" t="n"/>
      <c r="L17" s="14" t="n"/>
      <c r="M17" s="14" t="n"/>
      <c r="N17" s="14" t="n"/>
      <c r="O17" s="14" t="n"/>
      <c r="P17" s="15">
        <f>IF(M17="","",M17+IF(N17="",0,N17)-IF(O17="",0,O17))</f>
        <v/>
      </c>
      <c r="Q17" s="15">
        <f>IFERROR(P17/J17,"")</f>
        <v/>
      </c>
      <c r="R17" s="16" t="n"/>
      <c r="S17" s="14" t="n"/>
      <c r="T17" s="17">
        <f>IFERROR(P17/S17,"")</f>
        <v/>
      </c>
      <c r="U17" s="10" t="n"/>
      <c r="V17" s="10" t="n"/>
      <c r="W17" s="10" t="n"/>
      <c r="X17" s="10" t="n"/>
      <c r="Y17" s="10" t="n"/>
    </row>
    <row r="18">
      <c r="A18" s="11">
        <f>IF(B18="","",ROW()-3)</f>
        <v/>
      </c>
      <c r="B18" s="12" t="n"/>
      <c r="C18" s="10" t="n"/>
      <c r="D18" s="10" t="n"/>
      <c r="E18" s="10" t="n"/>
      <c r="F18" s="13" t="n"/>
      <c r="G18" s="13" t="n"/>
      <c r="H18" s="14" t="n"/>
      <c r="I18" s="14" t="n"/>
      <c r="J18" s="15">
        <f>IF(OR(H18="",I18=""),"",I18-H18)</f>
        <v/>
      </c>
      <c r="K18" s="14" t="n"/>
      <c r="L18" s="14" t="n"/>
      <c r="M18" s="14" t="n"/>
      <c r="N18" s="14" t="n"/>
      <c r="O18" s="14" t="n"/>
      <c r="P18" s="15">
        <f>IF(M18="","",M18+IF(N18="",0,N18)-IF(O18="",0,O18))</f>
        <v/>
      </c>
      <c r="Q18" s="15">
        <f>IFERROR(P18/J18,"")</f>
        <v/>
      </c>
      <c r="R18" s="16" t="n"/>
      <c r="S18" s="14" t="n"/>
      <c r="T18" s="17">
        <f>IFERROR(P18/S18,"")</f>
        <v/>
      </c>
      <c r="U18" s="10" t="n"/>
      <c r="V18" s="10" t="n"/>
      <c r="W18" s="10" t="n"/>
      <c r="X18" s="10" t="n"/>
      <c r="Y18" s="10" t="n"/>
    </row>
    <row r="19">
      <c r="A19" s="11">
        <f>IF(B19="","",ROW()-3)</f>
        <v/>
      </c>
      <c r="B19" s="12" t="n"/>
      <c r="C19" s="10" t="n"/>
      <c r="D19" s="10" t="n"/>
      <c r="E19" s="10" t="n"/>
      <c r="F19" s="13" t="n"/>
      <c r="G19" s="13" t="n"/>
      <c r="H19" s="14" t="n"/>
      <c r="I19" s="14" t="n"/>
      <c r="J19" s="15">
        <f>IF(OR(H19="",I19=""),"",I19-H19)</f>
        <v/>
      </c>
      <c r="K19" s="14" t="n"/>
      <c r="L19" s="14" t="n"/>
      <c r="M19" s="14" t="n"/>
      <c r="N19" s="14" t="n"/>
      <c r="O19" s="14" t="n"/>
      <c r="P19" s="15">
        <f>IF(M19="","",M19+IF(N19="",0,N19)-IF(O19="",0,O19))</f>
        <v/>
      </c>
      <c r="Q19" s="15">
        <f>IFERROR(P19/J19,"")</f>
        <v/>
      </c>
      <c r="R19" s="16" t="n"/>
      <c r="S19" s="14" t="n"/>
      <c r="T19" s="17">
        <f>IFERROR(P19/S19,"")</f>
        <v/>
      </c>
      <c r="U19" s="10" t="n"/>
      <c r="V19" s="10" t="n"/>
      <c r="W19" s="10" t="n"/>
      <c r="X19" s="10" t="n"/>
      <c r="Y19" s="10" t="n"/>
    </row>
    <row r="20">
      <c r="A20" s="11">
        <f>IF(B20="","",ROW()-3)</f>
        <v/>
      </c>
      <c r="B20" s="12" t="n"/>
      <c r="C20" s="10" t="n"/>
      <c r="D20" s="10" t="n"/>
      <c r="E20" s="10" t="n"/>
      <c r="F20" s="13" t="n"/>
      <c r="G20" s="13" t="n"/>
      <c r="H20" s="14" t="n"/>
      <c r="I20" s="14" t="n"/>
      <c r="J20" s="15">
        <f>IF(OR(H20="",I20=""),"",I20-H20)</f>
        <v/>
      </c>
      <c r="K20" s="14" t="n"/>
      <c r="L20" s="14" t="n"/>
      <c r="M20" s="14" t="n"/>
      <c r="N20" s="14" t="n"/>
      <c r="O20" s="14" t="n"/>
      <c r="P20" s="15">
        <f>IF(M20="","",M20+IF(N20="",0,N20)-IF(O20="",0,O20))</f>
        <v/>
      </c>
      <c r="Q20" s="15">
        <f>IFERROR(P20/J20,"")</f>
        <v/>
      </c>
      <c r="R20" s="16" t="n"/>
      <c r="S20" s="14" t="n"/>
      <c r="T20" s="17">
        <f>IFERROR(P20/S20,"")</f>
        <v/>
      </c>
      <c r="U20" s="10" t="n"/>
      <c r="V20" s="10" t="n"/>
      <c r="W20" s="10" t="n"/>
      <c r="X20" s="10" t="n"/>
      <c r="Y20" s="10" t="n"/>
    </row>
    <row r="21">
      <c r="A21" s="11">
        <f>IF(B21="","",ROW()-3)</f>
        <v/>
      </c>
      <c r="B21" s="12" t="n"/>
      <c r="C21" s="10" t="n"/>
      <c r="D21" s="10" t="n"/>
      <c r="E21" s="10" t="n"/>
      <c r="F21" s="13" t="n"/>
      <c r="G21" s="13" t="n"/>
      <c r="H21" s="14" t="n"/>
      <c r="I21" s="14" t="n"/>
      <c r="J21" s="15">
        <f>IF(OR(H21="",I21=""),"",I21-H21)</f>
        <v/>
      </c>
      <c r="K21" s="14" t="n"/>
      <c r="L21" s="14" t="n"/>
      <c r="M21" s="14" t="n"/>
      <c r="N21" s="14" t="n"/>
      <c r="O21" s="14" t="n"/>
      <c r="P21" s="15">
        <f>IF(M21="","",M21+IF(N21="",0,N21)-IF(O21="",0,O21))</f>
        <v/>
      </c>
      <c r="Q21" s="15">
        <f>IFERROR(P21/J21,"")</f>
        <v/>
      </c>
      <c r="R21" s="16" t="n"/>
      <c r="S21" s="14" t="n"/>
      <c r="T21" s="17">
        <f>IFERROR(P21/S21,"")</f>
        <v/>
      </c>
      <c r="U21" s="10" t="n"/>
      <c r="V21" s="10" t="n"/>
      <c r="W21" s="10" t="n"/>
      <c r="X21" s="10" t="n"/>
      <c r="Y21" s="10" t="n"/>
    </row>
    <row r="22">
      <c r="A22" s="11">
        <f>IF(B22="","",ROW()-3)</f>
        <v/>
      </c>
      <c r="B22" s="12" t="n"/>
      <c r="C22" s="10" t="n"/>
      <c r="D22" s="10" t="n"/>
      <c r="E22" s="10" t="n"/>
      <c r="F22" s="13" t="n"/>
      <c r="G22" s="13" t="n"/>
      <c r="H22" s="14" t="n"/>
      <c r="I22" s="14" t="n"/>
      <c r="J22" s="15">
        <f>IF(OR(H22="",I22=""),"",I22-H22)</f>
        <v/>
      </c>
      <c r="K22" s="14" t="n"/>
      <c r="L22" s="14" t="n"/>
      <c r="M22" s="14" t="n"/>
      <c r="N22" s="14" t="n"/>
      <c r="O22" s="14" t="n"/>
      <c r="P22" s="15">
        <f>IF(M22="","",M22+IF(N22="",0,N22)-IF(O22="",0,O22))</f>
        <v/>
      </c>
      <c r="Q22" s="15">
        <f>IFERROR(P22/J22,"")</f>
        <v/>
      </c>
      <c r="R22" s="16" t="n"/>
      <c r="S22" s="14" t="n"/>
      <c r="T22" s="17">
        <f>IFERROR(P22/S22,"")</f>
        <v/>
      </c>
      <c r="U22" s="10" t="n"/>
      <c r="V22" s="10" t="n"/>
      <c r="W22" s="10" t="n"/>
      <c r="X22" s="10" t="n"/>
      <c r="Y22" s="10" t="n"/>
    </row>
    <row r="23">
      <c r="A23" s="11">
        <f>IF(B23="","",ROW()-3)</f>
        <v/>
      </c>
      <c r="B23" s="12" t="n"/>
      <c r="C23" s="10" t="n"/>
      <c r="D23" s="10" t="n"/>
      <c r="E23" s="10" t="n"/>
      <c r="F23" s="13" t="n"/>
      <c r="G23" s="13" t="n"/>
      <c r="H23" s="14" t="n"/>
      <c r="I23" s="14" t="n"/>
      <c r="J23" s="15">
        <f>IF(OR(H23="",I23=""),"",I23-H23)</f>
        <v/>
      </c>
      <c r="K23" s="14" t="n"/>
      <c r="L23" s="14" t="n"/>
      <c r="M23" s="14" t="n"/>
      <c r="N23" s="14" t="n"/>
      <c r="O23" s="14" t="n"/>
      <c r="P23" s="15">
        <f>IF(M23="","",M23+IF(N23="",0,N23)-IF(O23="",0,O23))</f>
        <v/>
      </c>
      <c r="Q23" s="15">
        <f>IFERROR(P23/J23,"")</f>
        <v/>
      </c>
      <c r="R23" s="16" t="n"/>
      <c r="S23" s="14" t="n"/>
      <c r="T23" s="17">
        <f>IFERROR(P23/S23,"")</f>
        <v/>
      </c>
      <c r="U23" s="10" t="n"/>
      <c r="V23" s="10" t="n"/>
      <c r="W23" s="10" t="n"/>
      <c r="X23" s="10" t="n"/>
      <c r="Y23" s="10" t="n"/>
    </row>
    <row r="24">
      <c r="A24" s="11">
        <f>IF(B24="","",ROW()-3)</f>
        <v/>
      </c>
      <c r="B24" s="12" t="n"/>
      <c r="C24" s="10" t="n"/>
      <c r="D24" s="10" t="n"/>
      <c r="E24" s="10" t="n"/>
      <c r="F24" s="13" t="n"/>
      <c r="G24" s="13" t="n"/>
      <c r="H24" s="14" t="n"/>
      <c r="I24" s="14" t="n"/>
      <c r="J24" s="15">
        <f>IF(OR(H24="",I24=""),"",I24-H24)</f>
        <v/>
      </c>
      <c r="K24" s="14" t="n"/>
      <c r="L24" s="14" t="n"/>
      <c r="M24" s="14" t="n"/>
      <c r="N24" s="14" t="n"/>
      <c r="O24" s="14" t="n"/>
      <c r="P24" s="15">
        <f>IF(M24="","",M24+IF(N24="",0,N24)-IF(O24="",0,O24))</f>
        <v/>
      </c>
      <c r="Q24" s="15">
        <f>IFERROR(P24/J24,"")</f>
        <v/>
      </c>
      <c r="R24" s="16" t="n"/>
      <c r="S24" s="14" t="n"/>
      <c r="T24" s="17">
        <f>IFERROR(P24/S24,"")</f>
        <v/>
      </c>
      <c r="U24" s="10" t="n"/>
      <c r="V24" s="10" t="n"/>
      <c r="W24" s="10" t="n"/>
      <c r="X24" s="10" t="n"/>
      <c r="Y24" s="10" t="n"/>
    </row>
    <row r="25">
      <c r="A25" s="11">
        <f>IF(B25="","",ROW()-3)</f>
        <v/>
      </c>
      <c r="B25" s="12" t="n"/>
      <c r="C25" s="10" t="n"/>
      <c r="D25" s="10" t="n"/>
      <c r="E25" s="10" t="n"/>
      <c r="F25" s="13" t="n"/>
      <c r="G25" s="13" t="n"/>
      <c r="H25" s="14" t="n"/>
      <c r="I25" s="14" t="n"/>
      <c r="J25" s="15">
        <f>IF(OR(H25="",I25=""),"",I25-H25)</f>
        <v/>
      </c>
      <c r="K25" s="14" t="n"/>
      <c r="L25" s="14" t="n"/>
      <c r="M25" s="14" t="n"/>
      <c r="N25" s="14" t="n"/>
      <c r="O25" s="14" t="n"/>
      <c r="P25" s="15">
        <f>IF(M25="","",M25+IF(N25="",0,N25)-IF(O25="",0,O25))</f>
        <v/>
      </c>
      <c r="Q25" s="15">
        <f>IFERROR(P25/J25,"")</f>
        <v/>
      </c>
      <c r="R25" s="16" t="n"/>
      <c r="S25" s="14" t="n"/>
      <c r="T25" s="17">
        <f>IFERROR(P25/S25,"")</f>
        <v/>
      </c>
      <c r="U25" s="10" t="n"/>
      <c r="V25" s="10" t="n"/>
      <c r="W25" s="10" t="n"/>
      <c r="X25" s="10" t="n"/>
      <c r="Y25" s="10" t="n"/>
    </row>
    <row r="26">
      <c r="A26" s="11">
        <f>IF(B26="","",ROW()-3)</f>
        <v/>
      </c>
      <c r="B26" s="12" t="n"/>
      <c r="C26" s="10" t="n"/>
      <c r="D26" s="10" t="n"/>
      <c r="E26" s="10" t="n"/>
      <c r="F26" s="13" t="n"/>
      <c r="G26" s="13" t="n"/>
      <c r="H26" s="14" t="n"/>
      <c r="I26" s="14" t="n"/>
      <c r="J26" s="15">
        <f>IF(OR(H26="",I26=""),"",I26-H26)</f>
        <v/>
      </c>
      <c r="K26" s="14" t="n"/>
      <c r="L26" s="14" t="n"/>
      <c r="M26" s="14" t="n"/>
      <c r="N26" s="14" t="n"/>
      <c r="O26" s="14" t="n"/>
      <c r="P26" s="15">
        <f>IF(M26="","",M26+IF(N26="",0,N26)-IF(O26="",0,O26))</f>
        <v/>
      </c>
      <c r="Q26" s="15">
        <f>IFERROR(P26/J26,"")</f>
        <v/>
      </c>
      <c r="R26" s="16" t="n"/>
      <c r="S26" s="14" t="n"/>
      <c r="T26" s="17">
        <f>IFERROR(P26/S26,"")</f>
        <v/>
      </c>
      <c r="U26" s="10" t="n"/>
      <c r="V26" s="10" t="n"/>
      <c r="W26" s="10" t="n"/>
      <c r="X26" s="10" t="n"/>
      <c r="Y26" s="10" t="n"/>
    </row>
    <row r="27">
      <c r="A27" s="11">
        <f>IF(B27="","",ROW()-3)</f>
        <v/>
      </c>
      <c r="B27" s="12" t="n"/>
      <c r="C27" s="10" t="n"/>
      <c r="D27" s="10" t="n"/>
      <c r="E27" s="10" t="n"/>
      <c r="F27" s="13" t="n"/>
      <c r="G27" s="13" t="n"/>
      <c r="H27" s="14" t="n"/>
      <c r="I27" s="14" t="n"/>
      <c r="J27" s="15">
        <f>IF(OR(H27="",I27=""),"",I27-H27)</f>
        <v/>
      </c>
      <c r="K27" s="14" t="n"/>
      <c r="L27" s="14" t="n"/>
      <c r="M27" s="14" t="n"/>
      <c r="N27" s="14" t="n"/>
      <c r="O27" s="14" t="n"/>
      <c r="P27" s="15">
        <f>IF(M27="","",M27+IF(N27="",0,N27)-IF(O27="",0,O27))</f>
        <v/>
      </c>
      <c r="Q27" s="15">
        <f>IFERROR(P27/J27,"")</f>
        <v/>
      </c>
      <c r="R27" s="16" t="n"/>
      <c r="S27" s="14" t="n"/>
      <c r="T27" s="17">
        <f>IFERROR(P27/S27,"")</f>
        <v/>
      </c>
      <c r="U27" s="10" t="n"/>
      <c r="V27" s="10" t="n"/>
      <c r="W27" s="10" t="n"/>
      <c r="X27" s="10" t="n"/>
      <c r="Y27" s="10" t="n"/>
    </row>
    <row r="28">
      <c r="A28" s="11">
        <f>IF(B28="","",ROW()-3)</f>
        <v/>
      </c>
      <c r="B28" s="12" t="n"/>
      <c r="C28" s="10" t="n"/>
      <c r="D28" s="10" t="n"/>
      <c r="E28" s="10" t="n"/>
      <c r="F28" s="13" t="n"/>
      <c r="G28" s="13" t="n"/>
      <c r="H28" s="14" t="n"/>
      <c r="I28" s="14" t="n"/>
      <c r="J28" s="15">
        <f>IF(OR(H28="",I28=""),"",I28-H28)</f>
        <v/>
      </c>
      <c r="K28" s="14" t="n"/>
      <c r="L28" s="14" t="n"/>
      <c r="M28" s="14" t="n"/>
      <c r="N28" s="14" t="n"/>
      <c r="O28" s="14" t="n"/>
      <c r="P28" s="15">
        <f>IF(M28="","",M28+IF(N28="",0,N28)-IF(O28="",0,O28))</f>
        <v/>
      </c>
      <c r="Q28" s="15">
        <f>IFERROR(P28/J28,"")</f>
        <v/>
      </c>
      <c r="R28" s="16" t="n"/>
      <c r="S28" s="14" t="n"/>
      <c r="T28" s="17">
        <f>IFERROR(P28/S28,"")</f>
        <v/>
      </c>
      <c r="U28" s="10" t="n"/>
      <c r="V28" s="10" t="n"/>
      <c r="W28" s="10" t="n"/>
      <c r="X28" s="10" t="n"/>
      <c r="Y28" s="10" t="n"/>
    </row>
    <row r="29">
      <c r="A29" s="11">
        <f>IF(B29="","",ROW()-3)</f>
        <v/>
      </c>
      <c r="B29" s="12" t="n"/>
      <c r="C29" s="10" t="n"/>
      <c r="D29" s="10" t="n"/>
      <c r="E29" s="10" t="n"/>
      <c r="F29" s="13" t="n"/>
      <c r="G29" s="13" t="n"/>
      <c r="H29" s="14" t="n"/>
      <c r="I29" s="14" t="n"/>
      <c r="J29" s="15">
        <f>IF(OR(H29="",I29=""),"",I29-H29)</f>
        <v/>
      </c>
      <c r="K29" s="14" t="n"/>
      <c r="L29" s="14" t="n"/>
      <c r="M29" s="14" t="n"/>
      <c r="N29" s="14" t="n"/>
      <c r="O29" s="14" t="n"/>
      <c r="P29" s="15">
        <f>IF(M29="","",M29+IF(N29="",0,N29)-IF(O29="",0,O29))</f>
        <v/>
      </c>
      <c r="Q29" s="15">
        <f>IFERROR(P29/J29,"")</f>
        <v/>
      </c>
      <c r="R29" s="16" t="n"/>
      <c r="S29" s="14" t="n"/>
      <c r="T29" s="17">
        <f>IFERROR(P29/S29,"")</f>
        <v/>
      </c>
      <c r="U29" s="10" t="n"/>
      <c r="V29" s="10" t="n"/>
      <c r="W29" s="10" t="n"/>
      <c r="X29" s="10" t="n"/>
      <c r="Y29" s="10" t="n"/>
    </row>
    <row r="30">
      <c r="A30" s="11">
        <f>IF(B30="","",ROW()-3)</f>
        <v/>
      </c>
      <c r="B30" s="12" t="n"/>
      <c r="C30" s="10" t="n"/>
      <c r="D30" s="10" t="n"/>
      <c r="E30" s="10" t="n"/>
      <c r="F30" s="13" t="n"/>
      <c r="G30" s="13" t="n"/>
      <c r="H30" s="14" t="n"/>
      <c r="I30" s="14" t="n"/>
      <c r="J30" s="15">
        <f>IF(OR(H30="",I30=""),"",I30-H30)</f>
        <v/>
      </c>
      <c r="K30" s="14" t="n"/>
      <c r="L30" s="14" t="n"/>
      <c r="M30" s="14" t="n"/>
      <c r="N30" s="14" t="n"/>
      <c r="O30" s="14" t="n"/>
      <c r="P30" s="15">
        <f>IF(M30="","",M30+IF(N30="",0,N30)-IF(O30="",0,O30))</f>
        <v/>
      </c>
      <c r="Q30" s="15">
        <f>IFERROR(P30/J30,"")</f>
        <v/>
      </c>
      <c r="R30" s="16" t="n"/>
      <c r="S30" s="14" t="n"/>
      <c r="T30" s="17">
        <f>IFERROR(P30/S30,"")</f>
        <v/>
      </c>
      <c r="U30" s="10" t="n"/>
      <c r="V30" s="10" t="n"/>
      <c r="W30" s="10" t="n"/>
      <c r="X30" s="10" t="n"/>
      <c r="Y30" s="10" t="n"/>
    </row>
    <row r="31">
      <c r="A31" s="11">
        <f>IF(B31="","",ROW()-3)</f>
        <v/>
      </c>
      <c r="B31" s="12" t="n"/>
      <c r="C31" s="10" t="n"/>
      <c r="D31" s="10" t="n"/>
      <c r="E31" s="10" t="n"/>
      <c r="F31" s="13" t="n"/>
      <c r="G31" s="13" t="n"/>
      <c r="H31" s="14" t="n"/>
      <c r="I31" s="14" t="n"/>
      <c r="J31" s="15">
        <f>IF(OR(H31="",I31=""),"",I31-H31)</f>
        <v/>
      </c>
      <c r="K31" s="14" t="n"/>
      <c r="L31" s="14" t="n"/>
      <c r="M31" s="14" t="n"/>
      <c r="N31" s="14" t="n"/>
      <c r="O31" s="14" t="n"/>
      <c r="P31" s="15">
        <f>IF(M31="","",M31+IF(N31="",0,N31)-IF(O31="",0,O31))</f>
        <v/>
      </c>
      <c r="Q31" s="15">
        <f>IFERROR(P31/J31,"")</f>
        <v/>
      </c>
      <c r="R31" s="16" t="n"/>
      <c r="S31" s="14" t="n"/>
      <c r="T31" s="17">
        <f>IFERROR(P31/S31,"")</f>
        <v/>
      </c>
      <c r="U31" s="10" t="n"/>
      <c r="V31" s="10" t="n"/>
      <c r="W31" s="10" t="n"/>
      <c r="X31" s="10" t="n"/>
      <c r="Y31" s="10" t="n"/>
    </row>
    <row r="32">
      <c r="A32" s="11">
        <f>IF(B32="","",ROW()-3)</f>
        <v/>
      </c>
      <c r="B32" s="12" t="n"/>
      <c r="C32" s="10" t="n"/>
      <c r="D32" s="10" t="n"/>
      <c r="E32" s="10" t="n"/>
      <c r="F32" s="13" t="n"/>
      <c r="G32" s="13" t="n"/>
      <c r="H32" s="14" t="n"/>
      <c r="I32" s="14" t="n"/>
      <c r="J32" s="15">
        <f>IF(OR(H32="",I32=""),"",I32-H32)</f>
        <v/>
      </c>
      <c r="K32" s="14" t="n"/>
      <c r="L32" s="14" t="n"/>
      <c r="M32" s="14" t="n"/>
      <c r="N32" s="14" t="n"/>
      <c r="O32" s="14" t="n"/>
      <c r="P32" s="15">
        <f>IF(M32="","",M32+IF(N32="",0,N32)-IF(O32="",0,O32))</f>
        <v/>
      </c>
      <c r="Q32" s="15">
        <f>IFERROR(P32/J32,"")</f>
        <v/>
      </c>
      <c r="R32" s="16" t="n"/>
      <c r="S32" s="14" t="n"/>
      <c r="T32" s="17">
        <f>IFERROR(P32/S32,"")</f>
        <v/>
      </c>
      <c r="U32" s="10" t="n"/>
      <c r="V32" s="10" t="n"/>
      <c r="W32" s="10" t="n"/>
      <c r="X32" s="10" t="n"/>
      <c r="Y32" s="10" t="n"/>
    </row>
    <row r="33">
      <c r="A33" s="11">
        <f>IF(B33="","",ROW()-3)</f>
        <v/>
      </c>
      <c r="B33" s="12" t="n"/>
      <c r="C33" s="10" t="n"/>
      <c r="D33" s="10" t="n"/>
      <c r="E33" s="10" t="n"/>
      <c r="F33" s="13" t="n"/>
      <c r="G33" s="13" t="n"/>
      <c r="H33" s="14" t="n"/>
      <c r="I33" s="14" t="n"/>
      <c r="J33" s="15">
        <f>IF(OR(H33="",I33=""),"",I33-H33)</f>
        <v/>
      </c>
      <c r="K33" s="14" t="n"/>
      <c r="L33" s="14" t="n"/>
      <c r="M33" s="14" t="n"/>
      <c r="N33" s="14" t="n"/>
      <c r="O33" s="14" t="n"/>
      <c r="P33" s="15">
        <f>IF(M33="","",M33+IF(N33="",0,N33)-IF(O33="",0,O33))</f>
        <v/>
      </c>
      <c r="Q33" s="15">
        <f>IFERROR(P33/J33,"")</f>
        <v/>
      </c>
      <c r="R33" s="16" t="n"/>
      <c r="S33" s="14" t="n"/>
      <c r="T33" s="17">
        <f>IFERROR(P33/S33,"")</f>
        <v/>
      </c>
      <c r="U33" s="10" t="n"/>
      <c r="V33" s="10" t="n"/>
      <c r="W33" s="10" t="n"/>
      <c r="X33" s="10" t="n"/>
      <c r="Y33" s="10" t="n"/>
    </row>
    <row r="34">
      <c r="A34" s="11">
        <f>IF(B34="","",ROW()-3)</f>
        <v/>
      </c>
      <c r="B34" s="12" t="n"/>
      <c r="C34" s="10" t="n"/>
      <c r="D34" s="10" t="n"/>
      <c r="E34" s="10" t="n"/>
      <c r="F34" s="13" t="n"/>
      <c r="G34" s="13" t="n"/>
      <c r="H34" s="14" t="n"/>
      <c r="I34" s="14" t="n"/>
      <c r="J34" s="15">
        <f>IF(OR(H34="",I34=""),"",I34-H34)</f>
        <v/>
      </c>
      <c r="K34" s="14" t="n"/>
      <c r="L34" s="14" t="n"/>
      <c r="M34" s="14" t="n"/>
      <c r="N34" s="14" t="n"/>
      <c r="O34" s="14" t="n"/>
      <c r="P34" s="15">
        <f>IF(M34="","",M34+IF(N34="",0,N34)-IF(O34="",0,O34))</f>
        <v/>
      </c>
      <c r="Q34" s="15">
        <f>IFERROR(P34/J34,"")</f>
        <v/>
      </c>
      <c r="R34" s="16" t="n"/>
      <c r="S34" s="14" t="n"/>
      <c r="T34" s="17">
        <f>IFERROR(P34/S34,"")</f>
        <v/>
      </c>
      <c r="U34" s="10" t="n"/>
      <c r="V34" s="10" t="n"/>
      <c r="W34" s="10" t="n"/>
      <c r="X34" s="10" t="n"/>
      <c r="Y34" s="10" t="n"/>
    </row>
    <row r="35">
      <c r="A35" s="11">
        <f>IF(B35="","",ROW()-3)</f>
        <v/>
      </c>
      <c r="B35" s="12" t="n"/>
      <c r="C35" s="10" t="n"/>
      <c r="D35" s="10" t="n"/>
      <c r="E35" s="10" t="n"/>
      <c r="F35" s="13" t="n"/>
      <c r="G35" s="13" t="n"/>
      <c r="H35" s="14" t="n"/>
      <c r="I35" s="14" t="n"/>
      <c r="J35" s="15">
        <f>IF(OR(H35="",I35=""),"",I35-H35)</f>
        <v/>
      </c>
      <c r="K35" s="14" t="n"/>
      <c r="L35" s="14" t="n"/>
      <c r="M35" s="14" t="n"/>
      <c r="N35" s="14" t="n"/>
      <c r="O35" s="14" t="n"/>
      <c r="P35" s="15">
        <f>IF(M35="","",M35+IF(N35="",0,N35)-IF(O35="",0,O35))</f>
        <v/>
      </c>
      <c r="Q35" s="15">
        <f>IFERROR(P35/J35,"")</f>
        <v/>
      </c>
      <c r="R35" s="16" t="n"/>
      <c r="S35" s="14" t="n"/>
      <c r="T35" s="17">
        <f>IFERROR(P35/S35,"")</f>
        <v/>
      </c>
      <c r="U35" s="10" t="n"/>
      <c r="V35" s="10" t="n"/>
      <c r="W35" s="10" t="n"/>
      <c r="X35" s="10" t="n"/>
      <c r="Y35" s="10" t="n"/>
    </row>
    <row r="36">
      <c r="A36" s="11">
        <f>IF(B36="","",ROW()-3)</f>
        <v/>
      </c>
      <c r="B36" s="12" t="n"/>
      <c r="C36" s="10" t="n"/>
      <c r="D36" s="10" t="n"/>
      <c r="E36" s="10" t="n"/>
      <c r="F36" s="13" t="n"/>
      <c r="G36" s="13" t="n"/>
      <c r="H36" s="14" t="n"/>
      <c r="I36" s="14" t="n"/>
      <c r="J36" s="15">
        <f>IF(OR(H36="",I36=""),"",I36-H36)</f>
        <v/>
      </c>
      <c r="K36" s="14" t="n"/>
      <c r="L36" s="14" t="n"/>
      <c r="M36" s="14" t="n"/>
      <c r="N36" s="14" t="n"/>
      <c r="O36" s="14" t="n"/>
      <c r="P36" s="15">
        <f>IF(M36="","",M36+IF(N36="",0,N36)-IF(O36="",0,O36))</f>
        <v/>
      </c>
      <c r="Q36" s="15">
        <f>IFERROR(P36/J36,"")</f>
        <v/>
      </c>
      <c r="R36" s="16" t="n"/>
      <c r="S36" s="14" t="n"/>
      <c r="T36" s="17">
        <f>IFERROR(P36/S36,"")</f>
        <v/>
      </c>
      <c r="U36" s="10" t="n"/>
      <c r="V36" s="10" t="n"/>
      <c r="W36" s="10" t="n"/>
      <c r="X36" s="10" t="n"/>
      <c r="Y36" s="10" t="n"/>
    </row>
    <row r="37">
      <c r="A37" s="11">
        <f>IF(B37="","",ROW()-3)</f>
        <v/>
      </c>
      <c r="B37" s="12" t="n"/>
      <c r="C37" s="10" t="n"/>
      <c r="D37" s="10" t="n"/>
      <c r="E37" s="10" t="n"/>
      <c r="F37" s="13" t="n"/>
      <c r="G37" s="13" t="n"/>
      <c r="H37" s="14" t="n"/>
      <c r="I37" s="14" t="n"/>
      <c r="J37" s="15">
        <f>IF(OR(H37="",I37=""),"",I37-H37)</f>
        <v/>
      </c>
      <c r="K37" s="14" t="n"/>
      <c r="L37" s="14" t="n"/>
      <c r="M37" s="14" t="n"/>
      <c r="N37" s="14" t="n"/>
      <c r="O37" s="14" t="n"/>
      <c r="P37" s="15">
        <f>IF(M37="","",M37+IF(N37="",0,N37)-IF(O37="",0,O37))</f>
        <v/>
      </c>
      <c r="Q37" s="15">
        <f>IFERROR(P37/J37,"")</f>
        <v/>
      </c>
      <c r="R37" s="16" t="n"/>
      <c r="S37" s="14" t="n"/>
      <c r="T37" s="17">
        <f>IFERROR(P37/S37,"")</f>
        <v/>
      </c>
      <c r="U37" s="10" t="n"/>
      <c r="V37" s="10" t="n"/>
      <c r="W37" s="10" t="n"/>
      <c r="X37" s="10" t="n"/>
      <c r="Y37" s="10" t="n"/>
    </row>
    <row r="38">
      <c r="A38" s="11">
        <f>IF(B38="","",ROW()-3)</f>
        <v/>
      </c>
      <c r="B38" s="12" t="n"/>
      <c r="C38" s="10" t="n"/>
      <c r="D38" s="10" t="n"/>
      <c r="E38" s="10" t="n"/>
      <c r="F38" s="13" t="n"/>
      <c r="G38" s="13" t="n"/>
      <c r="H38" s="14" t="n"/>
      <c r="I38" s="14" t="n"/>
      <c r="J38" s="15">
        <f>IF(OR(H38="",I38=""),"",I38-H38)</f>
        <v/>
      </c>
      <c r="K38" s="14" t="n"/>
      <c r="L38" s="14" t="n"/>
      <c r="M38" s="14" t="n"/>
      <c r="N38" s="14" t="n"/>
      <c r="O38" s="14" t="n"/>
      <c r="P38" s="15">
        <f>IF(M38="","",M38+IF(N38="",0,N38)-IF(O38="",0,O38))</f>
        <v/>
      </c>
      <c r="Q38" s="15">
        <f>IFERROR(P38/J38,"")</f>
        <v/>
      </c>
      <c r="R38" s="16" t="n"/>
      <c r="S38" s="14" t="n"/>
      <c r="T38" s="17">
        <f>IFERROR(P38/S38,"")</f>
        <v/>
      </c>
      <c r="U38" s="10" t="n"/>
      <c r="V38" s="10" t="n"/>
      <c r="W38" s="10" t="n"/>
      <c r="X38" s="10" t="n"/>
      <c r="Y38" s="10" t="n"/>
    </row>
    <row r="39">
      <c r="A39" s="11">
        <f>IF(B39="","",ROW()-3)</f>
        <v/>
      </c>
      <c r="B39" s="12" t="n"/>
      <c r="C39" s="10" t="n"/>
      <c r="D39" s="10" t="n"/>
      <c r="E39" s="10" t="n"/>
      <c r="F39" s="13" t="n"/>
      <c r="G39" s="13" t="n"/>
      <c r="H39" s="14" t="n"/>
      <c r="I39" s="14" t="n"/>
      <c r="J39" s="15">
        <f>IF(OR(H39="",I39=""),"",I39-H39)</f>
        <v/>
      </c>
      <c r="K39" s="14" t="n"/>
      <c r="L39" s="14" t="n"/>
      <c r="M39" s="14" t="n"/>
      <c r="N39" s="14" t="n"/>
      <c r="O39" s="14" t="n"/>
      <c r="P39" s="15">
        <f>IF(M39="","",M39+IF(N39="",0,N39)-IF(O39="",0,O39))</f>
        <v/>
      </c>
      <c r="Q39" s="15">
        <f>IFERROR(P39/J39,"")</f>
        <v/>
      </c>
      <c r="R39" s="16" t="n"/>
      <c r="S39" s="14" t="n"/>
      <c r="T39" s="17">
        <f>IFERROR(P39/S39,"")</f>
        <v/>
      </c>
      <c r="U39" s="10" t="n"/>
      <c r="V39" s="10" t="n"/>
      <c r="W39" s="10" t="n"/>
      <c r="X39" s="10" t="n"/>
      <c r="Y39" s="10" t="n"/>
    </row>
    <row r="40">
      <c r="A40" s="11">
        <f>IF(B40="","",ROW()-3)</f>
        <v/>
      </c>
      <c r="B40" s="12" t="n"/>
      <c r="C40" s="10" t="n"/>
      <c r="D40" s="10" t="n"/>
      <c r="E40" s="10" t="n"/>
      <c r="F40" s="13" t="n"/>
      <c r="G40" s="13" t="n"/>
      <c r="H40" s="14" t="n"/>
      <c r="I40" s="14" t="n"/>
      <c r="J40" s="15">
        <f>IF(OR(H40="",I40=""),"",I40-H40)</f>
        <v/>
      </c>
      <c r="K40" s="14" t="n"/>
      <c r="L40" s="14" t="n"/>
      <c r="M40" s="14" t="n"/>
      <c r="N40" s="14" t="n"/>
      <c r="O40" s="14" t="n"/>
      <c r="P40" s="15">
        <f>IF(M40="","",M40+IF(N40="",0,N40)-IF(O40="",0,O40))</f>
        <v/>
      </c>
      <c r="Q40" s="15">
        <f>IFERROR(P40/J40,"")</f>
        <v/>
      </c>
      <c r="R40" s="16" t="n"/>
      <c r="S40" s="14" t="n"/>
      <c r="T40" s="17">
        <f>IFERROR(P40/S40,"")</f>
        <v/>
      </c>
      <c r="U40" s="10" t="n"/>
      <c r="V40" s="10" t="n"/>
      <c r="W40" s="10" t="n"/>
      <c r="X40" s="10" t="n"/>
      <c r="Y40" s="10" t="n"/>
    </row>
    <row r="41">
      <c r="A41" s="11">
        <f>IF(B41="","",ROW()-3)</f>
        <v/>
      </c>
      <c r="B41" s="12" t="n"/>
      <c r="C41" s="10" t="n"/>
      <c r="D41" s="10" t="n"/>
      <c r="E41" s="10" t="n"/>
      <c r="F41" s="13" t="n"/>
      <c r="G41" s="13" t="n"/>
      <c r="H41" s="14" t="n"/>
      <c r="I41" s="14" t="n"/>
      <c r="J41" s="15">
        <f>IF(OR(H41="",I41=""),"",I41-H41)</f>
        <v/>
      </c>
      <c r="K41" s="14" t="n"/>
      <c r="L41" s="14" t="n"/>
      <c r="M41" s="14" t="n"/>
      <c r="N41" s="14" t="n"/>
      <c r="O41" s="14" t="n"/>
      <c r="P41" s="15">
        <f>IF(M41="","",M41+IF(N41="",0,N41)-IF(O41="",0,O41))</f>
        <v/>
      </c>
      <c r="Q41" s="15">
        <f>IFERROR(P41/J41,"")</f>
        <v/>
      </c>
      <c r="R41" s="16" t="n"/>
      <c r="S41" s="14" t="n"/>
      <c r="T41" s="17">
        <f>IFERROR(P41/S41,"")</f>
        <v/>
      </c>
      <c r="U41" s="10" t="n"/>
      <c r="V41" s="10" t="n"/>
      <c r="W41" s="10" t="n"/>
      <c r="X41" s="10" t="n"/>
      <c r="Y41" s="10" t="n"/>
    </row>
    <row r="42">
      <c r="A42" s="11">
        <f>IF(B42="","",ROW()-3)</f>
        <v/>
      </c>
      <c r="B42" s="12" t="n"/>
      <c r="C42" s="10" t="n"/>
      <c r="D42" s="10" t="n"/>
      <c r="E42" s="10" t="n"/>
      <c r="F42" s="13" t="n"/>
      <c r="G42" s="13" t="n"/>
      <c r="H42" s="14" t="n"/>
      <c r="I42" s="14" t="n"/>
      <c r="J42" s="15">
        <f>IF(OR(H42="",I42=""),"",I42-H42)</f>
        <v/>
      </c>
      <c r="K42" s="14" t="n"/>
      <c r="L42" s="14" t="n"/>
      <c r="M42" s="14" t="n"/>
      <c r="N42" s="14" t="n"/>
      <c r="O42" s="14" t="n"/>
      <c r="P42" s="15">
        <f>IF(M42="","",M42+IF(N42="",0,N42)-IF(O42="",0,O42))</f>
        <v/>
      </c>
      <c r="Q42" s="15">
        <f>IFERROR(P42/J42,"")</f>
        <v/>
      </c>
      <c r="R42" s="16" t="n"/>
      <c r="S42" s="14" t="n"/>
      <c r="T42" s="17">
        <f>IFERROR(P42/S42,"")</f>
        <v/>
      </c>
      <c r="U42" s="10" t="n"/>
      <c r="V42" s="10" t="n"/>
      <c r="W42" s="10" t="n"/>
      <c r="X42" s="10" t="n"/>
      <c r="Y42" s="10" t="n"/>
    </row>
    <row r="43">
      <c r="A43" s="11">
        <f>IF(B43="","",ROW()-3)</f>
        <v/>
      </c>
      <c r="B43" s="12" t="n"/>
      <c r="C43" s="10" t="n"/>
      <c r="D43" s="10" t="n"/>
      <c r="E43" s="10" t="n"/>
      <c r="F43" s="13" t="n"/>
      <c r="G43" s="13" t="n"/>
      <c r="H43" s="14" t="n"/>
      <c r="I43" s="14" t="n"/>
      <c r="J43" s="15">
        <f>IF(OR(H43="",I43=""),"",I43-H43)</f>
        <v/>
      </c>
      <c r="K43" s="14" t="n"/>
      <c r="L43" s="14" t="n"/>
      <c r="M43" s="14" t="n"/>
      <c r="N43" s="14" t="n"/>
      <c r="O43" s="14" t="n"/>
      <c r="P43" s="15">
        <f>IF(M43="","",M43+IF(N43="",0,N43)-IF(O43="",0,O43))</f>
        <v/>
      </c>
      <c r="Q43" s="15">
        <f>IFERROR(P43/J43,"")</f>
        <v/>
      </c>
      <c r="R43" s="16" t="n"/>
      <c r="S43" s="14" t="n"/>
      <c r="T43" s="17">
        <f>IFERROR(P43/S43,"")</f>
        <v/>
      </c>
      <c r="U43" s="10" t="n"/>
      <c r="V43" s="10" t="n"/>
      <c r="W43" s="10" t="n"/>
      <c r="X43" s="10" t="n"/>
      <c r="Y43" s="10" t="n"/>
    </row>
    <row r="44">
      <c r="A44" s="11">
        <f>IF(B44="","",ROW()-3)</f>
        <v/>
      </c>
      <c r="B44" s="12" t="n"/>
      <c r="C44" s="10" t="n"/>
      <c r="D44" s="10" t="n"/>
      <c r="E44" s="10" t="n"/>
      <c r="F44" s="13" t="n"/>
      <c r="G44" s="13" t="n"/>
      <c r="H44" s="14" t="n"/>
      <c r="I44" s="14" t="n"/>
      <c r="J44" s="15">
        <f>IF(OR(H44="",I44=""),"",I44-H44)</f>
        <v/>
      </c>
      <c r="K44" s="14" t="n"/>
      <c r="L44" s="14" t="n"/>
      <c r="M44" s="14" t="n"/>
      <c r="N44" s="14" t="n"/>
      <c r="O44" s="14" t="n"/>
      <c r="P44" s="15">
        <f>IF(M44="","",M44+IF(N44="",0,N44)-IF(O44="",0,O44))</f>
        <v/>
      </c>
      <c r="Q44" s="15">
        <f>IFERROR(P44/J44,"")</f>
        <v/>
      </c>
      <c r="R44" s="16" t="n"/>
      <c r="S44" s="14" t="n"/>
      <c r="T44" s="17">
        <f>IFERROR(P44/S44,"")</f>
        <v/>
      </c>
      <c r="U44" s="10" t="n"/>
      <c r="V44" s="10" t="n"/>
      <c r="W44" s="10" t="n"/>
      <c r="X44" s="10" t="n"/>
      <c r="Y44" s="10" t="n"/>
    </row>
    <row r="45">
      <c r="A45" s="11">
        <f>IF(B45="","",ROW()-3)</f>
        <v/>
      </c>
      <c r="B45" s="12" t="n"/>
      <c r="C45" s="10" t="n"/>
      <c r="D45" s="10" t="n"/>
      <c r="E45" s="10" t="n"/>
      <c r="F45" s="13" t="n"/>
      <c r="G45" s="13" t="n"/>
      <c r="H45" s="14" t="n"/>
      <c r="I45" s="14" t="n"/>
      <c r="J45" s="15">
        <f>IF(OR(H45="",I45=""),"",I45-H45)</f>
        <v/>
      </c>
      <c r="K45" s="14" t="n"/>
      <c r="L45" s="14" t="n"/>
      <c r="M45" s="14" t="n"/>
      <c r="N45" s="14" t="n"/>
      <c r="O45" s="14" t="n"/>
      <c r="P45" s="15">
        <f>IF(M45="","",M45+IF(N45="",0,N45)-IF(O45="",0,O45))</f>
        <v/>
      </c>
      <c r="Q45" s="15">
        <f>IFERROR(P45/J45,"")</f>
        <v/>
      </c>
      <c r="R45" s="16" t="n"/>
      <c r="S45" s="14" t="n"/>
      <c r="T45" s="17">
        <f>IFERROR(P45/S45,"")</f>
        <v/>
      </c>
      <c r="U45" s="10" t="n"/>
      <c r="V45" s="10" t="n"/>
      <c r="W45" s="10" t="n"/>
      <c r="X45" s="10" t="n"/>
      <c r="Y45" s="10" t="n"/>
    </row>
    <row r="46">
      <c r="A46" s="11">
        <f>IF(B46="","",ROW()-3)</f>
        <v/>
      </c>
      <c r="B46" s="12" t="n"/>
      <c r="C46" s="10" t="n"/>
      <c r="D46" s="10" t="n"/>
      <c r="E46" s="10" t="n"/>
      <c r="F46" s="13" t="n"/>
      <c r="G46" s="13" t="n"/>
      <c r="H46" s="14" t="n"/>
      <c r="I46" s="14" t="n"/>
      <c r="J46" s="15">
        <f>IF(OR(H46="",I46=""),"",I46-H46)</f>
        <v/>
      </c>
      <c r="K46" s="14" t="n"/>
      <c r="L46" s="14" t="n"/>
      <c r="M46" s="14" t="n"/>
      <c r="N46" s="14" t="n"/>
      <c r="O46" s="14" t="n"/>
      <c r="P46" s="15">
        <f>IF(M46="","",M46+IF(N46="",0,N46)-IF(O46="",0,O46))</f>
        <v/>
      </c>
      <c r="Q46" s="15">
        <f>IFERROR(P46/J46,"")</f>
        <v/>
      </c>
      <c r="R46" s="16" t="n"/>
      <c r="S46" s="14" t="n"/>
      <c r="T46" s="17">
        <f>IFERROR(P46/S46,"")</f>
        <v/>
      </c>
      <c r="U46" s="10" t="n"/>
      <c r="V46" s="10" t="n"/>
      <c r="W46" s="10" t="n"/>
      <c r="X46" s="10" t="n"/>
      <c r="Y46" s="10" t="n"/>
    </row>
    <row r="47">
      <c r="A47" s="11">
        <f>IF(B47="","",ROW()-3)</f>
        <v/>
      </c>
      <c r="B47" s="12" t="n"/>
      <c r="C47" s="10" t="n"/>
      <c r="D47" s="10" t="n"/>
      <c r="E47" s="10" t="n"/>
      <c r="F47" s="13" t="n"/>
      <c r="G47" s="13" t="n"/>
      <c r="H47" s="14" t="n"/>
      <c r="I47" s="14" t="n"/>
      <c r="J47" s="15">
        <f>IF(OR(H47="",I47=""),"",I47-H47)</f>
        <v/>
      </c>
      <c r="K47" s="14" t="n"/>
      <c r="L47" s="14" t="n"/>
      <c r="M47" s="14" t="n"/>
      <c r="N47" s="14" t="n"/>
      <c r="O47" s="14" t="n"/>
      <c r="P47" s="15">
        <f>IF(M47="","",M47+IF(N47="",0,N47)-IF(O47="",0,O47))</f>
        <v/>
      </c>
      <c r="Q47" s="15">
        <f>IFERROR(P47/J47,"")</f>
        <v/>
      </c>
      <c r="R47" s="16" t="n"/>
      <c r="S47" s="14" t="n"/>
      <c r="T47" s="17">
        <f>IFERROR(P47/S47,"")</f>
        <v/>
      </c>
      <c r="U47" s="10" t="n"/>
      <c r="V47" s="10" t="n"/>
      <c r="W47" s="10" t="n"/>
      <c r="X47" s="10" t="n"/>
      <c r="Y47" s="10" t="n"/>
    </row>
    <row r="48">
      <c r="A48" s="11">
        <f>IF(B48="","",ROW()-3)</f>
        <v/>
      </c>
      <c r="B48" s="12" t="n"/>
      <c r="C48" s="10" t="n"/>
      <c r="D48" s="10" t="n"/>
      <c r="E48" s="10" t="n"/>
      <c r="F48" s="13" t="n"/>
      <c r="G48" s="13" t="n"/>
      <c r="H48" s="14" t="n"/>
      <c r="I48" s="14" t="n"/>
      <c r="J48" s="15">
        <f>IF(OR(H48="",I48=""),"",I48-H48)</f>
        <v/>
      </c>
      <c r="K48" s="14" t="n"/>
      <c r="L48" s="14" t="n"/>
      <c r="M48" s="14" t="n"/>
      <c r="N48" s="14" t="n"/>
      <c r="O48" s="14" t="n"/>
      <c r="P48" s="15">
        <f>IF(M48="","",M48+IF(N48="",0,N48)-IF(O48="",0,O48))</f>
        <v/>
      </c>
      <c r="Q48" s="15">
        <f>IFERROR(P48/J48,"")</f>
        <v/>
      </c>
      <c r="R48" s="16" t="n"/>
      <c r="S48" s="14" t="n"/>
      <c r="T48" s="17">
        <f>IFERROR(P48/S48,"")</f>
        <v/>
      </c>
      <c r="U48" s="10" t="n"/>
      <c r="V48" s="10" t="n"/>
      <c r="W48" s="10" t="n"/>
      <c r="X48" s="10" t="n"/>
      <c r="Y48" s="10" t="n"/>
    </row>
    <row r="49">
      <c r="A49" s="11">
        <f>IF(B49="","",ROW()-3)</f>
        <v/>
      </c>
      <c r="B49" s="12" t="n"/>
      <c r="C49" s="10" t="n"/>
      <c r="D49" s="10" t="n"/>
      <c r="E49" s="10" t="n"/>
      <c r="F49" s="13" t="n"/>
      <c r="G49" s="13" t="n"/>
      <c r="H49" s="14" t="n"/>
      <c r="I49" s="14" t="n"/>
      <c r="J49" s="15">
        <f>IF(OR(H49="",I49=""),"",I49-H49)</f>
        <v/>
      </c>
      <c r="K49" s="14" t="n"/>
      <c r="L49" s="14" t="n"/>
      <c r="M49" s="14" t="n"/>
      <c r="N49" s="14" t="n"/>
      <c r="O49" s="14" t="n"/>
      <c r="P49" s="15">
        <f>IF(M49="","",M49+IF(N49="",0,N49)-IF(O49="",0,O49))</f>
        <v/>
      </c>
      <c r="Q49" s="15">
        <f>IFERROR(P49/J49,"")</f>
        <v/>
      </c>
      <c r="R49" s="16" t="n"/>
      <c r="S49" s="14" t="n"/>
      <c r="T49" s="17">
        <f>IFERROR(P49/S49,"")</f>
        <v/>
      </c>
      <c r="U49" s="10" t="n"/>
      <c r="V49" s="10" t="n"/>
      <c r="W49" s="10" t="n"/>
      <c r="X49" s="10" t="n"/>
      <c r="Y49" s="10" t="n"/>
    </row>
    <row r="50">
      <c r="A50" s="11">
        <f>IF(B50="","",ROW()-3)</f>
        <v/>
      </c>
      <c r="B50" s="12" t="n"/>
      <c r="C50" s="10" t="n"/>
      <c r="D50" s="10" t="n"/>
      <c r="E50" s="10" t="n"/>
      <c r="F50" s="13" t="n"/>
      <c r="G50" s="13" t="n"/>
      <c r="H50" s="14" t="n"/>
      <c r="I50" s="14" t="n"/>
      <c r="J50" s="15">
        <f>IF(OR(H50="",I50=""),"",I50-H50)</f>
        <v/>
      </c>
      <c r="K50" s="14" t="n"/>
      <c r="L50" s="14" t="n"/>
      <c r="M50" s="14" t="n"/>
      <c r="N50" s="14" t="n"/>
      <c r="O50" s="14" t="n"/>
      <c r="P50" s="15">
        <f>IF(M50="","",M50+IF(N50="",0,N50)-IF(O50="",0,O50))</f>
        <v/>
      </c>
      <c r="Q50" s="15">
        <f>IFERROR(P50/J50,"")</f>
        <v/>
      </c>
      <c r="R50" s="16" t="n"/>
      <c r="S50" s="14" t="n"/>
      <c r="T50" s="17">
        <f>IFERROR(P50/S50,"")</f>
        <v/>
      </c>
      <c r="U50" s="10" t="n"/>
      <c r="V50" s="10" t="n"/>
      <c r="W50" s="10" t="n"/>
      <c r="X50" s="10" t="n"/>
      <c r="Y50" s="10" t="n"/>
    </row>
    <row r="51">
      <c r="A51" s="11">
        <f>IF(B51="","",ROW()-3)</f>
        <v/>
      </c>
      <c r="B51" s="12" t="n"/>
      <c r="C51" s="10" t="n"/>
      <c r="D51" s="10" t="n"/>
      <c r="E51" s="10" t="n"/>
      <c r="F51" s="13" t="n"/>
      <c r="G51" s="13" t="n"/>
      <c r="H51" s="14" t="n"/>
      <c r="I51" s="14" t="n"/>
      <c r="J51" s="15">
        <f>IF(OR(H51="",I51=""),"",I51-H51)</f>
        <v/>
      </c>
      <c r="K51" s="14" t="n"/>
      <c r="L51" s="14" t="n"/>
      <c r="M51" s="14" t="n"/>
      <c r="N51" s="14" t="n"/>
      <c r="O51" s="14" t="n"/>
      <c r="P51" s="15">
        <f>IF(M51="","",M51+IF(N51="",0,N51)-IF(O51="",0,O51))</f>
        <v/>
      </c>
      <c r="Q51" s="15">
        <f>IFERROR(P51/J51,"")</f>
        <v/>
      </c>
      <c r="R51" s="16" t="n"/>
      <c r="S51" s="14" t="n"/>
      <c r="T51" s="17">
        <f>IFERROR(P51/S51,"")</f>
        <v/>
      </c>
      <c r="U51" s="10" t="n"/>
      <c r="V51" s="10" t="n"/>
      <c r="W51" s="10" t="n"/>
      <c r="X51" s="10" t="n"/>
      <c r="Y51" s="10" t="n"/>
    </row>
    <row r="52">
      <c r="A52" s="11">
        <f>IF(B52="","",ROW()-3)</f>
        <v/>
      </c>
      <c r="B52" s="12" t="n"/>
      <c r="C52" s="10" t="n"/>
      <c r="D52" s="10" t="n"/>
      <c r="E52" s="10" t="n"/>
      <c r="F52" s="13" t="n"/>
      <c r="G52" s="13" t="n"/>
      <c r="H52" s="14" t="n"/>
      <c r="I52" s="14" t="n"/>
      <c r="J52" s="15">
        <f>IF(OR(H52="",I52=""),"",I52-H52)</f>
        <v/>
      </c>
      <c r="K52" s="14" t="n"/>
      <c r="L52" s="14" t="n"/>
      <c r="M52" s="14" t="n"/>
      <c r="N52" s="14" t="n"/>
      <c r="O52" s="14" t="n"/>
      <c r="P52" s="15">
        <f>IF(M52="","",M52+IF(N52="",0,N52)-IF(O52="",0,O52))</f>
        <v/>
      </c>
      <c r="Q52" s="15">
        <f>IFERROR(P52/J52,"")</f>
        <v/>
      </c>
      <c r="R52" s="16" t="n"/>
      <c r="S52" s="14" t="n"/>
      <c r="T52" s="17">
        <f>IFERROR(P52/S52,"")</f>
        <v/>
      </c>
      <c r="U52" s="10" t="n"/>
      <c r="V52" s="10" t="n"/>
      <c r="W52" s="10" t="n"/>
      <c r="X52" s="10" t="n"/>
      <c r="Y52" s="10" t="n"/>
    </row>
    <row r="53">
      <c r="A53" s="11">
        <f>IF(B53="","",ROW()-3)</f>
        <v/>
      </c>
      <c r="B53" s="12" t="n"/>
      <c r="C53" s="10" t="n"/>
      <c r="D53" s="10" t="n"/>
      <c r="E53" s="10" t="n"/>
      <c r="F53" s="13" t="n"/>
      <c r="G53" s="13" t="n"/>
      <c r="H53" s="14" t="n"/>
      <c r="I53" s="14" t="n"/>
      <c r="J53" s="15">
        <f>IF(OR(H53="",I53=""),"",I53-H53)</f>
        <v/>
      </c>
      <c r="K53" s="14" t="n"/>
      <c r="L53" s="14" t="n"/>
      <c r="M53" s="14" t="n"/>
      <c r="N53" s="14" t="n"/>
      <c r="O53" s="14" t="n"/>
      <c r="P53" s="15">
        <f>IF(M53="","",M53+IF(N53="",0,N53)-IF(O53="",0,O53))</f>
        <v/>
      </c>
      <c r="Q53" s="15">
        <f>IFERROR(P53/J53,"")</f>
        <v/>
      </c>
      <c r="R53" s="16" t="n"/>
      <c r="S53" s="14" t="n"/>
      <c r="T53" s="17">
        <f>IFERROR(P53/S53,"")</f>
        <v/>
      </c>
      <c r="U53" s="10" t="n"/>
      <c r="V53" s="10" t="n"/>
      <c r="W53" s="10" t="n"/>
      <c r="X53" s="10" t="n"/>
      <c r="Y53" s="10" t="n"/>
    </row>
    <row r="54">
      <c r="A54" s="11">
        <f>IF(B54="","",ROW()-3)</f>
        <v/>
      </c>
      <c r="B54" s="12" t="n"/>
      <c r="C54" s="10" t="n"/>
      <c r="D54" s="10" t="n"/>
      <c r="E54" s="10" t="n"/>
      <c r="F54" s="13" t="n"/>
      <c r="G54" s="13" t="n"/>
      <c r="H54" s="14" t="n"/>
      <c r="I54" s="14" t="n"/>
      <c r="J54" s="15">
        <f>IF(OR(H54="",I54=""),"",I54-H54)</f>
        <v/>
      </c>
      <c r="K54" s="14" t="n"/>
      <c r="L54" s="14" t="n"/>
      <c r="M54" s="14" t="n"/>
      <c r="N54" s="14" t="n"/>
      <c r="O54" s="14" t="n"/>
      <c r="P54" s="15">
        <f>IF(M54="","",M54+IF(N54="",0,N54)-IF(O54="",0,O54))</f>
        <v/>
      </c>
      <c r="Q54" s="15">
        <f>IFERROR(P54/J54,"")</f>
        <v/>
      </c>
      <c r="R54" s="16" t="n"/>
      <c r="S54" s="14" t="n"/>
      <c r="T54" s="17">
        <f>IFERROR(P54/S54,"")</f>
        <v/>
      </c>
      <c r="U54" s="10" t="n"/>
      <c r="V54" s="10" t="n"/>
      <c r="W54" s="10" t="n"/>
      <c r="X54" s="10" t="n"/>
      <c r="Y54" s="10" t="n"/>
    </row>
    <row r="55">
      <c r="A55" s="11">
        <f>IF(B55="","",ROW()-3)</f>
        <v/>
      </c>
      <c r="B55" s="12" t="n"/>
      <c r="C55" s="10" t="n"/>
      <c r="D55" s="10" t="n"/>
      <c r="E55" s="10" t="n"/>
      <c r="F55" s="13" t="n"/>
      <c r="G55" s="13" t="n"/>
      <c r="H55" s="14" t="n"/>
      <c r="I55" s="14" t="n"/>
      <c r="J55" s="15">
        <f>IF(OR(H55="",I55=""),"",I55-H55)</f>
        <v/>
      </c>
      <c r="K55" s="14" t="n"/>
      <c r="L55" s="14" t="n"/>
      <c r="M55" s="14" t="n"/>
      <c r="N55" s="14" t="n"/>
      <c r="O55" s="14" t="n"/>
      <c r="P55" s="15">
        <f>IF(M55="","",M55+IF(N55="",0,N55)-IF(O55="",0,O55))</f>
        <v/>
      </c>
      <c r="Q55" s="15">
        <f>IFERROR(P55/J55,"")</f>
        <v/>
      </c>
      <c r="R55" s="16" t="n"/>
      <c r="S55" s="14" t="n"/>
      <c r="T55" s="17">
        <f>IFERROR(P55/S55,"")</f>
        <v/>
      </c>
      <c r="U55" s="10" t="n"/>
      <c r="V55" s="10" t="n"/>
      <c r="W55" s="10" t="n"/>
      <c r="X55" s="10" t="n"/>
      <c r="Y55" s="10" t="n"/>
    </row>
    <row r="56">
      <c r="A56" s="11">
        <f>IF(B56="","",ROW()-3)</f>
        <v/>
      </c>
      <c r="B56" s="12" t="n"/>
      <c r="C56" s="10" t="n"/>
      <c r="D56" s="10" t="n"/>
      <c r="E56" s="10" t="n"/>
      <c r="F56" s="13" t="n"/>
      <c r="G56" s="13" t="n"/>
      <c r="H56" s="14" t="n"/>
      <c r="I56" s="14" t="n"/>
      <c r="J56" s="15">
        <f>IF(OR(H56="",I56=""),"",I56-H56)</f>
        <v/>
      </c>
      <c r="K56" s="14" t="n"/>
      <c r="L56" s="14" t="n"/>
      <c r="M56" s="14" t="n"/>
      <c r="N56" s="14" t="n"/>
      <c r="O56" s="14" t="n"/>
      <c r="P56" s="15">
        <f>IF(M56="","",M56+IF(N56="",0,N56)-IF(O56="",0,O56))</f>
        <v/>
      </c>
      <c r="Q56" s="15">
        <f>IFERROR(P56/J56,"")</f>
        <v/>
      </c>
      <c r="R56" s="16" t="n"/>
      <c r="S56" s="14" t="n"/>
      <c r="T56" s="17">
        <f>IFERROR(P56/S56,"")</f>
        <v/>
      </c>
      <c r="U56" s="10" t="n"/>
      <c r="V56" s="10" t="n"/>
      <c r="W56" s="10" t="n"/>
      <c r="X56" s="10" t="n"/>
      <c r="Y56" s="10" t="n"/>
    </row>
    <row r="57">
      <c r="A57" s="11">
        <f>IF(B57="","",ROW()-3)</f>
        <v/>
      </c>
      <c r="B57" s="12" t="n"/>
      <c r="C57" s="10" t="n"/>
      <c r="D57" s="10" t="n"/>
      <c r="E57" s="10" t="n"/>
      <c r="F57" s="13" t="n"/>
      <c r="G57" s="13" t="n"/>
      <c r="H57" s="14" t="n"/>
      <c r="I57" s="14" t="n"/>
      <c r="J57" s="15">
        <f>IF(OR(H57="",I57=""),"",I57-H57)</f>
        <v/>
      </c>
      <c r="K57" s="14" t="n"/>
      <c r="L57" s="14" t="n"/>
      <c r="M57" s="14" t="n"/>
      <c r="N57" s="14" t="n"/>
      <c r="O57" s="14" t="n"/>
      <c r="P57" s="15">
        <f>IF(M57="","",M57+IF(N57="",0,N57)-IF(O57="",0,O57))</f>
        <v/>
      </c>
      <c r="Q57" s="15">
        <f>IFERROR(P57/J57,"")</f>
        <v/>
      </c>
      <c r="R57" s="16" t="n"/>
      <c r="S57" s="14" t="n"/>
      <c r="T57" s="17">
        <f>IFERROR(P57/S57,"")</f>
        <v/>
      </c>
      <c r="U57" s="10" t="n"/>
      <c r="V57" s="10" t="n"/>
      <c r="W57" s="10" t="n"/>
      <c r="X57" s="10" t="n"/>
      <c r="Y57" s="10" t="n"/>
    </row>
    <row r="58">
      <c r="A58" s="11">
        <f>IF(B58="","",ROW()-3)</f>
        <v/>
      </c>
      <c r="B58" s="12" t="n"/>
      <c r="C58" s="10" t="n"/>
      <c r="D58" s="10" t="n"/>
      <c r="E58" s="10" t="n"/>
      <c r="F58" s="13" t="n"/>
      <c r="G58" s="13" t="n"/>
      <c r="H58" s="14" t="n"/>
      <c r="I58" s="14" t="n"/>
      <c r="J58" s="15">
        <f>IF(OR(H58="",I58=""),"",I58-H58)</f>
        <v/>
      </c>
      <c r="K58" s="14" t="n"/>
      <c r="L58" s="14" t="n"/>
      <c r="M58" s="14" t="n"/>
      <c r="N58" s="14" t="n"/>
      <c r="O58" s="14" t="n"/>
      <c r="P58" s="15">
        <f>IF(M58="","",M58+IF(N58="",0,N58)-IF(O58="",0,O58))</f>
        <v/>
      </c>
      <c r="Q58" s="15">
        <f>IFERROR(P58/J58,"")</f>
        <v/>
      </c>
      <c r="R58" s="16" t="n"/>
      <c r="S58" s="14" t="n"/>
      <c r="T58" s="17">
        <f>IFERROR(P58/S58,"")</f>
        <v/>
      </c>
      <c r="U58" s="10" t="n"/>
      <c r="V58" s="10" t="n"/>
      <c r="W58" s="10" t="n"/>
      <c r="X58" s="10" t="n"/>
      <c r="Y58" s="10" t="n"/>
    </row>
    <row r="59">
      <c r="A59" s="11">
        <f>IF(B59="","",ROW()-3)</f>
        <v/>
      </c>
      <c r="B59" s="12" t="n"/>
      <c r="C59" s="10" t="n"/>
      <c r="D59" s="10" t="n"/>
      <c r="E59" s="10" t="n"/>
      <c r="F59" s="13" t="n"/>
      <c r="G59" s="13" t="n"/>
      <c r="H59" s="14" t="n"/>
      <c r="I59" s="14" t="n"/>
      <c r="J59" s="15">
        <f>IF(OR(H59="",I59=""),"",I59-H59)</f>
        <v/>
      </c>
      <c r="K59" s="14" t="n"/>
      <c r="L59" s="14" t="n"/>
      <c r="M59" s="14" t="n"/>
      <c r="N59" s="14" t="n"/>
      <c r="O59" s="14" t="n"/>
      <c r="P59" s="15">
        <f>IF(M59="","",M59+IF(N59="",0,N59)-IF(O59="",0,O59))</f>
        <v/>
      </c>
      <c r="Q59" s="15">
        <f>IFERROR(P59/J59,"")</f>
        <v/>
      </c>
      <c r="R59" s="16" t="n"/>
      <c r="S59" s="14" t="n"/>
      <c r="T59" s="17">
        <f>IFERROR(P59/S59,"")</f>
        <v/>
      </c>
      <c r="U59" s="10" t="n"/>
      <c r="V59" s="10" t="n"/>
      <c r="W59" s="10" t="n"/>
      <c r="X59" s="10" t="n"/>
      <c r="Y59" s="10" t="n"/>
    </row>
    <row r="60">
      <c r="A60" s="11">
        <f>IF(B60="","",ROW()-3)</f>
        <v/>
      </c>
      <c r="B60" s="12" t="n"/>
      <c r="C60" s="10" t="n"/>
      <c r="D60" s="10" t="n"/>
      <c r="E60" s="10" t="n"/>
      <c r="F60" s="13" t="n"/>
      <c r="G60" s="13" t="n"/>
      <c r="H60" s="14" t="n"/>
      <c r="I60" s="14" t="n"/>
      <c r="J60" s="15">
        <f>IF(OR(H60="",I60=""),"",I60-H60)</f>
        <v/>
      </c>
      <c r="K60" s="14" t="n"/>
      <c r="L60" s="14" t="n"/>
      <c r="M60" s="14" t="n"/>
      <c r="N60" s="14" t="n"/>
      <c r="O60" s="14" t="n"/>
      <c r="P60" s="15">
        <f>IF(M60="","",M60+IF(N60="",0,N60)-IF(O60="",0,O60))</f>
        <v/>
      </c>
      <c r="Q60" s="15">
        <f>IFERROR(P60/J60,"")</f>
        <v/>
      </c>
      <c r="R60" s="16" t="n"/>
      <c r="S60" s="14" t="n"/>
      <c r="T60" s="17">
        <f>IFERROR(P60/S60,"")</f>
        <v/>
      </c>
      <c r="U60" s="10" t="n"/>
      <c r="V60" s="10" t="n"/>
      <c r="W60" s="10" t="n"/>
      <c r="X60" s="10" t="n"/>
      <c r="Y60" s="10" t="n"/>
    </row>
    <row r="61">
      <c r="A61" s="11">
        <f>IF(B61="","",ROW()-3)</f>
        <v/>
      </c>
      <c r="B61" s="12" t="n"/>
      <c r="C61" s="10" t="n"/>
      <c r="D61" s="10" t="n"/>
      <c r="E61" s="10" t="n"/>
      <c r="F61" s="13" t="n"/>
      <c r="G61" s="13" t="n"/>
      <c r="H61" s="14" t="n"/>
      <c r="I61" s="14" t="n"/>
      <c r="J61" s="15">
        <f>IF(OR(H61="",I61=""),"",I61-H61)</f>
        <v/>
      </c>
      <c r="K61" s="14" t="n"/>
      <c r="L61" s="14" t="n"/>
      <c r="M61" s="14" t="n"/>
      <c r="N61" s="14" t="n"/>
      <c r="O61" s="14" t="n"/>
      <c r="P61" s="15">
        <f>IF(M61="","",M61+IF(N61="",0,N61)-IF(O61="",0,O61))</f>
        <v/>
      </c>
      <c r="Q61" s="15">
        <f>IFERROR(P61/J61,"")</f>
        <v/>
      </c>
      <c r="R61" s="16" t="n"/>
      <c r="S61" s="14" t="n"/>
      <c r="T61" s="17">
        <f>IFERROR(P61/S61,"")</f>
        <v/>
      </c>
      <c r="U61" s="10" t="n"/>
      <c r="V61" s="10" t="n"/>
      <c r="W61" s="10" t="n"/>
      <c r="X61" s="10" t="n"/>
      <c r="Y61" s="10" t="n"/>
    </row>
    <row r="62">
      <c r="A62" s="11">
        <f>IF(B62="","",ROW()-3)</f>
        <v/>
      </c>
      <c r="B62" s="12" t="n"/>
      <c r="C62" s="10" t="n"/>
      <c r="D62" s="10" t="n"/>
      <c r="E62" s="10" t="n"/>
      <c r="F62" s="13" t="n"/>
      <c r="G62" s="13" t="n"/>
      <c r="H62" s="14" t="n"/>
      <c r="I62" s="14" t="n"/>
      <c r="J62" s="15">
        <f>IF(OR(H62="",I62=""),"",I62-H62)</f>
        <v/>
      </c>
      <c r="K62" s="14" t="n"/>
      <c r="L62" s="14" t="n"/>
      <c r="M62" s="14" t="n"/>
      <c r="N62" s="14" t="n"/>
      <c r="O62" s="14" t="n"/>
      <c r="P62" s="15">
        <f>IF(M62="","",M62+IF(N62="",0,N62)-IF(O62="",0,O62))</f>
        <v/>
      </c>
      <c r="Q62" s="15">
        <f>IFERROR(P62/J62,"")</f>
        <v/>
      </c>
      <c r="R62" s="16" t="n"/>
      <c r="S62" s="14" t="n"/>
      <c r="T62" s="17">
        <f>IFERROR(P62/S62,"")</f>
        <v/>
      </c>
      <c r="U62" s="10" t="n"/>
      <c r="V62" s="10" t="n"/>
      <c r="W62" s="10" t="n"/>
      <c r="X62" s="10" t="n"/>
      <c r="Y62" s="10" t="n"/>
    </row>
    <row r="63">
      <c r="A63" s="11">
        <f>IF(B63="","",ROW()-3)</f>
        <v/>
      </c>
      <c r="B63" s="12" t="n"/>
      <c r="C63" s="10" t="n"/>
      <c r="D63" s="10" t="n"/>
      <c r="E63" s="10" t="n"/>
      <c r="F63" s="13" t="n"/>
      <c r="G63" s="13" t="n"/>
      <c r="H63" s="14" t="n"/>
      <c r="I63" s="14" t="n"/>
      <c r="J63" s="15">
        <f>IF(OR(H63="",I63=""),"",I63-H63)</f>
        <v/>
      </c>
      <c r="K63" s="14" t="n"/>
      <c r="L63" s="14" t="n"/>
      <c r="M63" s="14" t="n"/>
      <c r="N63" s="14" t="n"/>
      <c r="O63" s="14" t="n"/>
      <c r="P63" s="15">
        <f>IF(M63="","",M63+IF(N63="",0,N63)-IF(O63="",0,O63))</f>
        <v/>
      </c>
      <c r="Q63" s="15">
        <f>IFERROR(P63/J63,"")</f>
        <v/>
      </c>
      <c r="R63" s="16" t="n"/>
      <c r="S63" s="14" t="n"/>
      <c r="T63" s="17">
        <f>IFERROR(P63/S63,"")</f>
        <v/>
      </c>
      <c r="U63" s="10" t="n"/>
      <c r="V63" s="10" t="n"/>
      <c r="W63" s="10" t="n"/>
      <c r="X63" s="10" t="n"/>
      <c r="Y63" s="10" t="n"/>
    </row>
    <row r="64">
      <c r="A64" s="11">
        <f>IF(B64="","",ROW()-3)</f>
        <v/>
      </c>
      <c r="B64" s="12" t="n"/>
      <c r="C64" s="10" t="n"/>
      <c r="D64" s="10" t="n"/>
      <c r="E64" s="10" t="n"/>
      <c r="F64" s="13" t="n"/>
      <c r="G64" s="13" t="n"/>
      <c r="H64" s="14" t="n"/>
      <c r="I64" s="14" t="n"/>
      <c r="J64" s="15">
        <f>IF(OR(H64="",I64=""),"",I64-H64)</f>
        <v/>
      </c>
      <c r="K64" s="14" t="n"/>
      <c r="L64" s="14" t="n"/>
      <c r="M64" s="14" t="n"/>
      <c r="N64" s="14" t="n"/>
      <c r="O64" s="14" t="n"/>
      <c r="P64" s="15">
        <f>IF(M64="","",M64+IF(N64="",0,N64)-IF(O64="",0,O64))</f>
        <v/>
      </c>
      <c r="Q64" s="15">
        <f>IFERROR(P64/J64,"")</f>
        <v/>
      </c>
      <c r="R64" s="16" t="n"/>
      <c r="S64" s="14" t="n"/>
      <c r="T64" s="17">
        <f>IFERROR(P64/S64,"")</f>
        <v/>
      </c>
      <c r="U64" s="10" t="n"/>
      <c r="V64" s="10" t="n"/>
      <c r="W64" s="10" t="n"/>
      <c r="X64" s="10" t="n"/>
      <c r="Y64" s="10" t="n"/>
    </row>
    <row r="65">
      <c r="A65" s="11">
        <f>IF(B65="","",ROW()-3)</f>
        <v/>
      </c>
      <c r="B65" s="12" t="n"/>
      <c r="C65" s="10" t="n"/>
      <c r="D65" s="10" t="n"/>
      <c r="E65" s="10" t="n"/>
      <c r="F65" s="13" t="n"/>
      <c r="G65" s="13" t="n"/>
      <c r="H65" s="14" t="n"/>
      <c r="I65" s="14" t="n"/>
      <c r="J65" s="15">
        <f>IF(OR(H65="",I65=""),"",I65-H65)</f>
        <v/>
      </c>
      <c r="K65" s="14" t="n"/>
      <c r="L65" s="14" t="n"/>
      <c r="M65" s="14" t="n"/>
      <c r="N65" s="14" t="n"/>
      <c r="O65" s="14" t="n"/>
      <c r="P65" s="15">
        <f>IF(M65="","",M65+IF(N65="",0,N65)-IF(O65="",0,O65))</f>
        <v/>
      </c>
      <c r="Q65" s="15">
        <f>IFERROR(P65/J65,"")</f>
        <v/>
      </c>
      <c r="R65" s="16" t="n"/>
      <c r="S65" s="14" t="n"/>
      <c r="T65" s="17">
        <f>IFERROR(P65/S65,"")</f>
        <v/>
      </c>
      <c r="U65" s="10" t="n"/>
      <c r="V65" s="10" t="n"/>
      <c r="W65" s="10" t="n"/>
      <c r="X65" s="10" t="n"/>
      <c r="Y65" s="10" t="n"/>
    </row>
    <row r="66">
      <c r="A66" s="11">
        <f>IF(B66="","",ROW()-3)</f>
        <v/>
      </c>
      <c r="B66" s="12" t="n"/>
      <c r="C66" s="10" t="n"/>
      <c r="D66" s="10" t="n"/>
      <c r="E66" s="10" t="n"/>
      <c r="F66" s="13" t="n"/>
      <c r="G66" s="13" t="n"/>
      <c r="H66" s="14" t="n"/>
      <c r="I66" s="14" t="n"/>
      <c r="J66" s="15">
        <f>IF(OR(H66="",I66=""),"",I66-H66)</f>
        <v/>
      </c>
      <c r="K66" s="14" t="n"/>
      <c r="L66" s="14" t="n"/>
      <c r="M66" s="14" t="n"/>
      <c r="N66" s="14" t="n"/>
      <c r="O66" s="14" t="n"/>
      <c r="P66" s="15">
        <f>IF(M66="","",M66+IF(N66="",0,N66)-IF(O66="",0,O66))</f>
        <v/>
      </c>
      <c r="Q66" s="15">
        <f>IFERROR(P66/J66,"")</f>
        <v/>
      </c>
      <c r="R66" s="16" t="n"/>
      <c r="S66" s="14" t="n"/>
      <c r="T66" s="17">
        <f>IFERROR(P66/S66,"")</f>
        <v/>
      </c>
      <c r="U66" s="10" t="n"/>
      <c r="V66" s="10" t="n"/>
      <c r="W66" s="10" t="n"/>
      <c r="X66" s="10" t="n"/>
      <c r="Y66" s="10" t="n"/>
    </row>
    <row r="67">
      <c r="A67" s="11">
        <f>IF(B67="","",ROW()-3)</f>
        <v/>
      </c>
      <c r="B67" s="12" t="n"/>
      <c r="C67" s="10" t="n"/>
      <c r="D67" s="10" t="n"/>
      <c r="E67" s="10" t="n"/>
      <c r="F67" s="13" t="n"/>
      <c r="G67" s="13" t="n"/>
      <c r="H67" s="14" t="n"/>
      <c r="I67" s="14" t="n"/>
      <c r="J67" s="15">
        <f>IF(OR(H67="",I67=""),"",I67-H67)</f>
        <v/>
      </c>
      <c r="K67" s="14" t="n"/>
      <c r="L67" s="14" t="n"/>
      <c r="M67" s="14" t="n"/>
      <c r="N67" s="14" t="n"/>
      <c r="O67" s="14" t="n"/>
      <c r="P67" s="15">
        <f>IF(M67="","",M67+IF(N67="",0,N67)-IF(O67="",0,O67))</f>
        <v/>
      </c>
      <c r="Q67" s="15">
        <f>IFERROR(P67/J67,"")</f>
        <v/>
      </c>
      <c r="R67" s="16" t="n"/>
      <c r="S67" s="14" t="n"/>
      <c r="T67" s="17">
        <f>IFERROR(P67/S67,"")</f>
        <v/>
      </c>
      <c r="U67" s="10" t="n"/>
      <c r="V67" s="10" t="n"/>
      <c r="W67" s="10" t="n"/>
      <c r="X67" s="10" t="n"/>
      <c r="Y67" s="10" t="n"/>
    </row>
    <row r="68">
      <c r="A68" s="11">
        <f>IF(B68="","",ROW()-3)</f>
        <v/>
      </c>
      <c r="B68" s="12" t="n"/>
      <c r="C68" s="10" t="n"/>
      <c r="D68" s="10" t="n"/>
      <c r="E68" s="10" t="n"/>
      <c r="F68" s="13" t="n"/>
      <c r="G68" s="13" t="n"/>
      <c r="H68" s="14" t="n"/>
      <c r="I68" s="14" t="n"/>
      <c r="J68" s="15">
        <f>IF(OR(H68="",I68=""),"",I68-H68)</f>
        <v/>
      </c>
      <c r="K68" s="14" t="n"/>
      <c r="L68" s="14" t="n"/>
      <c r="M68" s="14" t="n"/>
      <c r="N68" s="14" t="n"/>
      <c r="O68" s="14" t="n"/>
      <c r="P68" s="15">
        <f>IF(M68="","",M68+IF(N68="",0,N68)-IF(O68="",0,O68))</f>
        <v/>
      </c>
      <c r="Q68" s="15">
        <f>IFERROR(P68/J68,"")</f>
        <v/>
      </c>
      <c r="R68" s="16" t="n"/>
      <c r="S68" s="14" t="n"/>
      <c r="T68" s="17">
        <f>IFERROR(P68/S68,"")</f>
        <v/>
      </c>
      <c r="U68" s="10" t="n"/>
      <c r="V68" s="10" t="n"/>
      <c r="W68" s="10" t="n"/>
      <c r="X68" s="10" t="n"/>
      <c r="Y68" s="10" t="n"/>
    </row>
    <row r="69">
      <c r="A69" s="11">
        <f>IF(B69="","",ROW()-3)</f>
        <v/>
      </c>
      <c r="B69" s="12" t="n"/>
      <c r="C69" s="10" t="n"/>
      <c r="D69" s="10" t="n"/>
      <c r="E69" s="10" t="n"/>
      <c r="F69" s="13" t="n"/>
      <c r="G69" s="13" t="n"/>
      <c r="H69" s="14" t="n"/>
      <c r="I69" s="14" t="n"/>
      <c r="J69" s="15">
        <f>IF(OR(H69="",I69=""),"",I69-H69)</f>
        <v/>
      </c>
      <c r="K69" s="14" t="n"/>
      <c r="L69" s="14" t="n"/>
      <c r="M69" s="14" t="n"/>
      <c r="N69" s="14" t="n"/>
      <c r="O69" s="14" t="n"/>
      <c r="P69" s="15">
        <f>IF(M69="","",M69+IF(N69="",0,N69)-IF(O69="",0,O69))</f>
        <v/>
      </c>
      <c r="Q69" s="15">
        <f>IFERROR(P69/J69,"")</f>
        <v/>
      </c>
      <c r="R69" s="16" t="n"/>
      <c r="S69" s="14" t="n"/>
      <c r="T69" s="17">
        <f>IFERROR(P69/S69,"")</f>
        <v/>
      </c>
      <c r="U69" s="10" t="n"/>
      <c r="V69" s="10" t="n"/>
      <c r="W69" s="10" t="n"/>
      <c r="X69" s="10" t="n"/>
      <c r="Y69" s="10" t="n"/>
    </row>
    <row r="70">
      <c r="A70" s="11">
        <f>IF(B70="","",ROW()-3)</f>
        <v/>
      </c>
      <c r="B70" s="12" t="n"/>
      <c r="C70" s="10" t="n"/>
      <c r="D70" s="10" t="n"/>
      <c r="E70" s="10" t="n"/>
      <c r="F70" s="13" t="n"/>
      <c r="G70" s="13" t="n"/>
      <c r="H70" s="14" t="n"/>
      <c r="I70" s="14" t="n"/>
      <c r="J70" s="15">
        <f>IF(OR(H70="",I70=""),"",I70-H70)</f>
        <v/>
      </c>
      <c r="K70" s="14" t="n"/>
      <c r="L70" s="14" t="n"/>
      <c r="M70" s="14" t="n"/>
      <c r="N70" s="14" t="n"/>
      <c r="O70" s="14" t="n"/>
      <c r="P70" s="15">
        <f>IF(M70="","",M70+IF(N70="",0,N70)-IF(O70="",0,O70))</f>
        <v/>
      </c>
      <c r="Q70" s="15">
        <f>IFERROR(P70/J70,"")</f>
        <v/>
      </c>
      <c r="R70" s="16" t="n"/>
      <c r="S70" s="14" t="n"/>
      <c r="T70" s="17">
        <f>IFERROR(P70/S70,"")</f>
        <v/>
      </c>
      <c r="U70" s="10" t="n"/>
      <c r="V70" s="10" t="n"/>
      <c r="W70" s="10" t="n"/>
      <c r="X70" s="10" t="n"/>
      <c r="Y70" s="10" t="n"/>
    </row>
    <row r="71">
      <c r="A71" s="11">
        <f>IF(B71="","",ROW()-3)</f>
        <v/>
      </c>
      <c r="B71" s="12" t="n"/>
      <c r="C71" s="10" t="n"/>
      <c r="D71" s="10" t="n"/>
      <c r="E71" s="10" t="n"/>
      <c r="F71" s="13" t="n"/>
      <c r="G71" s="13" t="n"/>
      <c r="H71" s="14" t="n"/>
      <c r="I71" s="14" t="n"/>
      <c r="J71" s="15">
        <f>IF(OR(H71="",I71=""),"",I71-H71)</f>
        <v/>
      </c>
      <c r="K71" s="14" t="n"/>
      <c r="L71" s="14" t="n"/>
      <c r="M71" s="14" t="n"/>
      <c r="N71" s="14" t="n"/>
      <c r="O71" s="14" t="n"/>
      <c r="P71" s="15">
        <f>IF(M71="","",M71+IF(N71="",0,N71)-IF(O71="",0,O71))</f>
        <v/>
      </c>
      <c r="Q71" s="15">
        <f>IFERROR(P71/J71,"")</f>
        <v/>
      </c>
      <c r="R71" s="16" t="n"/>
      <c r="S71" s="14" t="n"/>
      <c r="T71" s="17">
        <f>IFERROR(P71/S71,"")</f>
        <v/>
      </c>
      <c r="U71" s="10" t="n"/>
      <c r="V71" s="10" t="n"/>
      <c r="W71" s="10" t="n"/>
      <c r="X71" s="10" t="n"/>
      <c r="Y71" s="10" t="n"/>
    </row>
    <row r="72">
      <c r="A72" s="11">
        <f>IF(B72="","",ROW()-3)</f>
        <v/>
      </c>
      <c r="B72" s="12" t="n"/>
      <c r="C72" s="10" t="n"/>
      <c r="D72" s="10" t="n"/>
      <c r="E72" s="10" t="n"/>
      <c r="F72" s="13" t="n"/>
      <c r="G72" s="13" t="n"/>
      <c r="H72" s="14" t="n"/>
      <c r="I72" s="14" t="n"/>
      <c r="J72" s="15">
        <f>IF(OR(H72="",I72=""),"",I72-H72)</f>
        <v/>
      </c>
      <c r="K72" s="14" t="n"/>
      <c r="L72" s="14" t="n"/>
      <c r="M72" s="14" t="n"/>
      <c r="N72" s="14" t="n"/>
      <c r="O72" s="14" t="n"/>
      <c r="P72" s="15">
        <f>IF(M72="","",M72+IF(N72="",0,N72)-IF(O72="",0,O72))</f>
        <v/>
      </c>
      <c r="Q72" s="15">
        <f>IFERROR(P72/J72,"")</f>
        <v/>
      </c>
      <c r="R72" s="16" t="n"/>
      <c r="S72" s="14" t="n"/>
      <c r="T72" s="17">
        <f>IFERROR(P72/S72,"")</f>
        <v/>
      </c>
      <c r="U72" s="10" t="n"/>
      <c r="V72" s="10" t="n"/>
      <c r="W72" s="10" t="n"/>
      <c r="X72" s="10" t="n"/>
      <c r="Y72" s="10" t="n"/>
    </row>
    <row r="73">
      <c r="A73" s="11">
        <f>IF(B73="","",ROW()-3)</f>
        <v/>
      </c>
      <c r="B73" s="12" t="n"/>
      <c r="C73" s="10" t="n"/>
      <c r="D73" s="10" t="n"/>
      <c r="E73" s="10" t="n"/>
      <c r="F73" s="13" t="n"/>
      <c r="G73" s="13" t="n"/>
      <c r="H73" s="14" t="n"/>
      <c r="I73" s="14" t="n"/>
      <c r="J73" s="15">
        <f>IF(OR(H73="",I73=""),"",I73-H73)</f>
        <v/>
      </c>
      <c r="K73" s="14" t="n"/>
      <c r="L73" s="14" t="n"/>
      <c r="M73" s="14" t="n"/>
      <c r="N73" s="14" t="n"/>
      <c r="O73" s="14" t="n"/>
      <c r="P73" s="15">
        <f>IF(M73="","",M73+IF(N73="",0,N73)-IF(O73="",0,O73))</f>
        <v/>
      </c>
      <c r="Q73" s="15">
        <f>IFERROR(P73/J73,"")</f>
        <v/>
      </c>
      <c r="R73" s="16" t="n"/>
      <c r="S73" s="14" t="n"/>
      <c r="T73" s="17">
        <f>IFERROR(P73/S73,"")</f>
        <v/>
      </c>
      <c r="U73" s="10" t="n"/>
      <c r="V73" s="10" t="n"/>
      <c r="W73" s="10" t="n"/>
      <c r="X73" s="10" t="n"/>
      <c r="Y73" s="10" t="n"/>
    </row>
    <row r="74">
      <c r="A74" s="11">
        <f>IF(B74="","",ROW()-3)</f>
        <v/>
      </c>
      <c r="B74" s="12" t="n"/>
      <c r="C74" s="10" t="n"/>
      <c r="D74" s="10" t="n"/>
      <c r="E74" s="10" t="n"/>
      <c r="F74" s="13" t="n"/>
      <c r="G74" s="13" t="n"/>
      <c r="H74" s="14" t="n"/>
      <c r="I74" s="14" t="n"/>
      <c r="J74" s="15">
        <f>IF(OR(H74="",I74=""),"",I74-H74)</f>
        <v/>
      </c>
      <c r="K74" s="14" t="n"/>
      <c r="L74" s="14" t="n"/>
      <c r="M74" s="14" t="n"/>
      <c r="N74" s="14" t="n"/>
      <c r="O74" s="14" t="n"/>
      <c r="P74" s="15">
        <f>IF(M74="","",M74+IF(N74="",0,N74)-IF(O74="",0,O74))</f>
        <v/>
      </c>
      <c r="Q74" s="15">
        <f>IFERROR(P74/J74,"")</f>
        <v/>
      </c>
      <c r="R74" s="16" t="n"/>
      <c r="S74" s="14" t="n"/>
      <c r="T74" s="17">
        <f>IFERROR(P74/S74,"")</f>
        <v/>
      </c>
      <c r="U74" s="10" t="n"/>
      <c r="V74" s="10" t="n"/>
      <c r="W74" s="10" t="n"/>
      <c r="X74" s="10" t="n"/>
      <c r="Y74" s="10" t="n"/>
    </row>
    <row r="75">
      <c r="A75" s="11">
        <f>IF(B75="","",ROW()-3)</f>
        <v/>
      </c>
      <c r="B75" s="12" t="n"/>
      <c r="C75" s="10" t="n"/>
      <c r="D75" s="10" t="n"/>
      <c r="E75" s="10" t="n"/>
      <c r="F75" s="13" t="n"/>
      <c r="G75" s="13" t="n"/>
      <c r="H75" s="14" t="n"/>
      <c r="I75" s="14" t="n"/>
      <c r="J75" s="15">
        <f>IF(OR(H75="",I75=""),"",I75-H75)</f>
        <v/>
      </c>
      <c r="K75" s="14" t="n"/>
      <c r="L75" s="14" t="n"/>
      <c r="M75" s="14" t="n"/>
      <c r="N75" s="14" t="n"/>
      <c r="O75" s="14" t="n"/>
      <c r="P75" s="15">
        <f>IF(M75="","",M75+IF(N75="",0,N75)-IF(O75="",0,O75))</f>
        <v/>
      </c>
      <c r="Q75" s="15">
        <f>IFERROR(P75/J75,"")</f>
        <v/>
      </c>
      <c r="R75" s="16" t="n"/>
      <c r="S75" s="14" t="n"/>
      <c r="T75" s="17">
        <f>IFERROR(P75/S75,"")</f>
        <v/>
      </c>
      <c r="U75" s="10" t="n"/>
      <c r="V75" s="10" t="n"/>
      <c r="W75" s="10" t="n"/>
      <c r="X75" s="10" t="n"/>
      <c r="Y75" s="10" t="n"/>
    </row>
    <row r="76">
      <c r="A76" s="11">
        <f>IF(B76="","",ROW()-3)</f>
        <v/>
      </c>
      <c r="B76" s="12" t="n"/>
      <c r="C76" s="10" t="n"/>
      <c r="D76" s="10" t="n"/>
      <c r="E76" s="10" t="n"/>
      <c r="F76" s="13" t="n"/>
      <c r="G76" s="13" t="n"/>
      <c r="H76" s="14" t="n"/>
      <c r="I76" s="14" t="n"/>
      <c r="J76" s="15">
        <f>IF(OR(H76="",I76=""),"",I76-H76)</f>
        <v/>
      </c>
      <c r="K76" s="14" t="n"/>
      <c r="L76" s="14" t="n"/>
      <c r="M76" s="14" t="n"/>
      <c r="N76" s="14" t="n"/>
      <c r="O76" s="14" t="n"/>
      <c r="P76" s="15">
        <f>IF(M76="","",M76+IF(N76="",0,N76)-IF(O76="",0,O76))</f>
        <v/>
      </c>
      <c r="Q76" s="15">
        <f>IFERROR(P76/J76,"")</f>
        <v/>
      </c>
      <c r="R76" s="16" t="n"/>
      <c r="S76" s="14" t="n"/>
      <c r="T76" s="17">
        <f>IFERROR(P76/S76,"")</f>
        <v/>
      </c>
      <c r="U76" s="10" t="n"/>
      <c r="V76" s="10" t="n"/>
      <c r="W76" s="10" t="n"/>
      <c r="X76" s="10" t="n"/>
      <c r="Y76" s="10" t="n"/>
    </row>
    <row r="77">
      <c r="A77" s="11">
        <f>IF(B77="","",ROW()-3)</f>
        <v/>
      </c>
      <c r="B77" s="12" t="n"/>
      <c r="C77" s="10" t="n"/>
      <c r="D77" s="10" t="n"/>
      <c r="E77" s="10" t="n"/>
      <c r="F77" s="13" t="n"/>
      <c r="G77" s="13" t="n"/>
      <c r="H77" s="14" t="n"/>
      <c r="I77" s="14" t="n"/>
      <c r="J77" s="15">
        <f>IF(OR(H77="",I77=""),"",I77-H77)</f>
        <v/>
      </c>
      <c r="K77" s="14" t="n"/>
      <c r="L77" s="14" t="n"/>
      <c r="M77" s="14" t="n"/>
      <c r="N77" s="14" t="n"/>
      <c r="O77" s="14" t="n"/>
      <c r="P77" s="15">
        <f>IF(M77="","",M77+IF(N77="",0,N77)-IF(O77="",0,O77))</f>
        <v/>
      </c>
      <c r="Q77" s="15">
        <f>IFERROR(P77/J77,"")</f>
        <v/>
      </c>
      <c r="R77" s="16" t="n"/>
      <c r="S77" s="14" t="n"/>
      <c r="T77" s="17">
        <f>IFERROR(P77/S77,"")</f>
        <v/>
      </c>
      <c r="U77" s="10" t="n"/>
      <c r="V77" s="10" t="n"/>
      <c r="W77" s="10" t="n"/>
      <c r="X77" s="10" t="n"/>
      <c r="Y77" s="10" t="n"/>
    </row>
    <row r="78">
      <c r="A78" s="11">
        <f>IF(B78="","",ROW()-3)</f>
        <v/>
      </c>
      <c r="B78" s="12" t="n"/>
      <c r="C78" s="10" t="n"/>
      <c r="D78" s="10" t="n"/>
      <c r="E78" s="10" t="n"/>
      <c r="F78" s="13" t="n"/>
      <c r="G78" s="13" t="n"/>
      <c r="H78" s="14" t="n"/>
      <c r="I78" s="14" t="n"/>
      <c r="J78" s="15">
        <f>IF(OR(H78="",I78=""),"",I78-H78)</f>
        <v/>
      </c>
      <c r="K78" s="14" t="n"/>
      <c r="L78" s="14" t="n"/>
      <c r="M78" s="14" t="n"/>
      <c r="N78" s="14" t="n"/>
      <c r="O78" s="14" t="n"/>
      <c r="P78" s="15">
        <f>IF(M78="","",M78+IF(N78="",0,N78)-IF(O78="",0,O78))</f>
        <v/>
      </c>
      <c r="Q78" s="15">
        <f>IFERROR(P78/J78,"")</f>
        <v/>
      </c>
      <c r="R78" s="16" t="n"/>
      <c r="S78" s="14" t="n"/>
      <c r="T78" s="17">
        <f>IFERROR(P78/S78,"")</f>
        <v/>
      </c>
      <c r="U78" s="10" t="n"/>
      <c r="V78" s="10" t="n"/>
      <c r="W78" s="10" t="n"/>
      <c r="X78" s="10" t="n"/>
      <c r="Y78" s="10" t="n"/>
    </row>
    <row r="79">
      <c r="A79" s="11">
        <f>IF(B79="","",ROW()-3)</f>
        <v/>
      </c>
      <c r="B79" s="12" t="n"/>
      <c r="C79" s="10" t="n"/>
      <c r="D79" s="10" t="n"/>
      <c r="E79" s="10" t="n"/>
      <c r="F79" s="13" t="n"/>
      <c r="G79" s="13" t="n"/>
      <c r="H79" s="14" t="n"/>
      <c r="I79" s="14" t="n"/>
      <c r="J79" s="15">
        <f>IF(OR(H79="",I79=""),"",I79-H79)</f>
        <v/>
      </c>
      <c r="K79" s="14" t="n"/>
      <c r="L79" s="14" t="n"/>
      <c r="M79" s="14" t="n"/>
      <c r="N79" s="14" t="n"/>
      <c r="O79" s="14" t="n"/>
      <c r="P79" s="15">
        <f>IF(M79="","",M79+IF(N79="",0,N79)-IF(O79="",0,O79))</f>
        <v/>
      </c>
      <c r="Q79" s="15">
        <f>IFERROR(P79/J79,"")</f>
        <v/>
      </c>
      <c r="R79" s="16" t="n"/>
      <c r="S79" s="14" t="n"/>
      <c r="T79" s="17">
        <f>IFERROR(P79/S79,"")</f>
        <v/>
      </c>
      <c r="U79" s="10" t="n"/>
      <c r="V79" s="10" t="n"/>
      <c r="W79" s="10" t="n"/>
      <c r="X79" s="10" t="n"/>
      <c r="Y79" s="10" t="n"/>
    </row>
    <row r="80">
      <c r="A80" s="11">
        <f>IF(B80="","",ROW()-3)</f>
        <v/>
      </c>
      <c r="B80" s="12" t="n"/>
      <c r="C80" s="10" t="n"/>
      <c r="D80" s="10" t="n"/>
      <c r="E80" s="10" t="n"/>
      <c r="F80" s="13" t="n"/>
      <c r="G80" s="13" t="n"/>
      <c r="H80" s="14" t="n"/>
      <c r="I80" s="14" t="n"/>
      <c r="J80" s="15">
        <f>IF(OR(H80="",I80=""),"",I80-H80)</f>
        <v/>
      </c>
      <c r="K80" s="14" t="n"/>
      <c r="L80" s="14" t="n"/>
      <c r="M80" s="14" t="n"/>
      <c r="N80" s="14" t="n"/>
      <c r="O80" s="14" t="n"/>
      <c r="P80" s="15">
        <f>IF(M80="","",M80+IF(N80="",0,N80)-IF(O80="",0,O80))</f>
        <v/>
      </c>
      <c r="Q80" s="15">
        <f>IFERROR(P80/J80,"")</f>
        <v/>
      </c>
      <c r="R80" s="16" t="n"/>
      <c r="S80" s="14" t="n"/>
      <c r="T80" s="17">
        <f>IFERROR(P80/S80,"")</f>
        <v/>
      </c>
      <c r="U80" s="10" t="n"/>
      <c r="V80" s="10" t="n"/>
      <c r="W80" s="10" t="n"/>
      <c r="X80" s="10" t="n"/>
      <c r="Y80" s="10" t="n"/>
    </row>
    <row r="81">
      <c r="A81" s="11">
        <f>IF(B81="","",ROW()-3)</f>
        <v/>
      </c>
      <c r="B81" s="12" t="n"/>
      <c r="C81" s="10" t="n"/>
      <c r="D81" s="10" t="n"/>
      <c r="E81" s="10" t="n"/>
      <c r="F81" s="13" t="n"/>
      <c r="G81" s="13" t="n"/>
      <c r="H81" s="14" t="n"/>
      <c r="I81" s="14" t="n"/>
      <c r="J81" s="15">
        <f>IF(OR(H81="",I81=""),"",I81-H81)</f>
        <v/>
      </c>
      <c r="K81" s="14" t="n"/>
      <c r="L81" s="14" t="n"/>
      <c r="M81" s="14" t="n"/>
      <c r="N81" s="14" t="n"/>
      <c r="O81" s="14" t="n"/>
      <c r="P81" s="15">
        <f>IF(M81="","",M81+IF(N81="",0,N81)-IF(O81="",0,O81))</f>
        <v/>
      </c>
      <c r="Q81" s="15">
        <f>IFERROR(P81/J81,"")</f>
        <v/>
      </c>
      <c r="R81" s="16" t="n"/>
      <c r="S81" s="14" t="n"/>
      <c r="T81" s="17">
        <f>IFERROR(P81/S81,"")</f>
        <v/>
      </c>
      <c r="U81" s="10" t="n"/>
      <c r="V81" s="10" t="n"/>
      <c r="W81" s="10" t="n"/>
      <c r="X81" s="10" t="n"/>
      <c r="Y81" s="10" t="n"/>
    </row>
    <row r="82">
      <c r="A82" s="11">
        <f>IF(B82="","",ROW()-3)</f>
        <v/>
      </c>
      <c r="B82" s="12" t="n"/>
      <c r="C82" s="10" t="n"/>
      <c r="D82" s="10" t="n"/>
      <c r="E82" s="10" t="n"/>
      <c r="F82" s="13" t="n"/>
      <c r="G82" s="13" t="n"/>
      <c r="H82" s="14" t="n"/>
      <c r="I82" s="14" t="n"/>
      <c r="J82" s="15">
        <f>IF(OR(H82="",I82=""),"",I82-H82)</f>
        <v/>
      </c>
      <c r="K82" s="14" t="n"/>
      <c r="L82" s="14" t="n"/>
      <c r="M82" s="14" t="n"/>
      <c r="N82" s="14" t="n"/>
      <c r="O82" s="14" t="n"/>
      <c r="P82" s="15">
        <f>IF(M82="","",M82+IF(N82="",0,N82)-IF(O82="",0,O82))</f>
        <v/>
      </c>
      <c r="Q82" s="15">
        <f>IFERROR(P82/J82,"")</f>
        <v/>
      </c>
      <c r="R82" s="16" t="n"/>
      <c r="S82" s="14" t="n"/>
      <c r="T82" s="17">
        <f>IFERROR(P82/S82,"")</f>
        <v/>
      </c>
      <c r="U82" s="10" t="n"/>
      <c r="V82" s="10" t="n"/>
      <c r="W82" s="10" t="n"/>
      <c r="X82" s="10" t="n"/>
      <c r="Y82" s="10" t="n"/>
    </row>
    <row r="83">
      <c r="A83" s="11">
        <f>IF(B83="","",ROW()-3)</f>
        <v/>
      </c>
      <c r="B83" s="12" t="n"/>
      <c r="C83" s="10" t="n"/>
      <c r="D83" s="10" t="n"/>
      <c r="E83" s="10" t="n"/>
      <c r="F83" s="13" t="n"/>
      <c r="G83" s="13" t="n"/>
      <c r="H83" s="14" t="n"/>
      <c r="I83" s="14" t="n"/>
      <c r="J83" s="15">
        <f>IF(OR(H83="",I83=""),"",I83-H83)</f>
        <v/>
      </c>
      <c r="K83" s="14" t="n"/>
      <c r="L83" s="14" t="n"/>
      <c r="M83" s="14" t="n"/>
      <c r="N83" s="14" t="n"/>
      <c r="O83" s="14" t="n"/>
      <c r="P83" s="15">
        <f>IF(M83="","",M83+IF(N83="",0,N83)-IF(O83="",0,O83))</f>
        <v/>
      </c>
      <c r="Q83" s="15">
        <f>IFERROR(P83/J83,"")</f>
        <v/>
      </c>
      <c r="R83" s="16" t="n"/>
      <c r="S83" s="14" t="n"/>
      <c r="T83" s="17">
        <f>IFERROR(P83/S83,"")</f>
        <v/>
      </c>
      <c r="U83" s="10" t="n"/>
      <c r="V83" s="10" t="n"/>
      <c r="W83" s="10" t="n"/>
      <c r="X83" s="10" t="n"/>
      <c r="Y83" s="10" t="n"/>
    </row>
    <row r="84">
      <c r="A84" s="11">
        <f>IF(B84="","",ROW()-3)</f>
        <v/>
      </c>
      <c r="B84" s="12" t="n"/>
      <c r="C84" s="10" t="n"/>
      <c r="D84" s="10" t="n"/>
      <c r="E84" s="10" t="n"/>
      <c r="F84" s="13" t="n"/>
      <c r="G84" s="13" t="n"/>
      <c r="H84" s="14" t="n"/>
      <c r="I84" s="14" t="n"/>
      <c r="J84" s="15">
        <f>IF(OR(H84="",I84=""),"",I84-H84)</f>
        <v/>
      </c>
      <c r="K84" s="14" t="n"/>
      <c r="L84" s="14" t="n"/>
      <c r="M84" s="14" t="n"/>
      <c r="N84" s="14" t="n"/>
      <c r="O84" s="14" t="n"/>
      <c r="P84" s="15">
        <f>IF(M84="","",M84+IF(N84="",0,N84)-IF(O84="",0,O84))</f>
        <v/>
      </c>
      <c r="Q84" s="15">
        <f>IFERROR(P84/J84,"")</f>
        <v/>
      </c>
      <c r="R84" s="16" t="n"/>
      <c r="S84" s="14" t="n"/>
      <c r="T84" s="17">
        <f>IFERROR(P84/S84,"")</f>
        <v/>
      </c>
      <c r="U84" s="10" t="n"/>
      <c r="V84" s="10" t="n"/>
      <c r="W84" s="10" t="n"/>
      <c r="X84" s="10" t="n"/>
      <c r="Y84" s="10" t="n"/>
    </row>
    <row r="85">
      <c r="A85" s="11">
        <f>IF(B85="","",ROW()-3)</f>
        <v/>
      </c>
      <c r="B85" s="12" t="n"/>
      <c r="C85" s="10" t="n"/>
      <c r="D85" s="10" t="n"/>
      <c r="E85" s="10" t="n"/>
      <c r="F85" s="13" t="n"/>
      <c r="G85" s="13" t="n"/>
      <c r="H85" s="14" t="n"/>
      <c r="I85" s="14" t="n"/>
      <c r="J85" s="15">
        <f>IF(OR(H85="",I85=""),"",I85-H85)</f>
        <v/>
      </c>
      <c r="K85" s="14" t="n"/>
      <c r="L85" s="14" t="n"/>
      <c r="M85" s="14" t="n"/>
      <c r="N85" s="14" t="n"/>
      <c r="O85" s="14" t="n"/>
      <c r="P85" s="15">
        <f>IF(M85="","",M85+IF(N85="",0,N85)-IF(O85="",0,O85))</f>
        <v/>
      </c>
      <c r="Q85" s="15">
        <f>IFERROR(P85/J85,"")</f>
        <v/>
      </c>
      <c r="R85" s="16" t="n"/>
      <c r="S85" s="14" t="n"/>
      <c r="T85" s="17">
        <f>IFERROR(P85/S85,"")</f>
        <v/>
      </c>
      <c r="U85" s="10" t="n"/>
      <c r="V85" s="10" t="n"/>
      <c r="W85" s="10" t="n"/>
      <c r="X85" s="10" t="n"/>
      <c r="Y85" s="10" t="n"/>
    </row>
    <row r="86">
      <c r="A86" s="11">
        <f>IF(B86="","",ROW()-3)</f>
        <v/>
      </c>
      <c r="B86" s="12" t="n"/>
      <c r="C86" s="10" t="n"/>
      <c r="D86" s="10" t="n"/>
      <c r="E86" s="10" t="n"/>
      <c r="F86" s="13" t="n"/>
      <c r="G86" s="13" t="n"/>
      <c r="H86" s="14" t="n"/>
      <c r="I86" s="14" t="n"/>
      <c r="J86" s="15">
        <f>IF(OR(H86="",I86=""),"",I86-H86)</f>
        <v/>
      </c>
      <c r="K86" s="14" t="n"/>
      <c r="L86" s="14" t="n"/>
      <c r="M86" s="14" t="n"/>
      <c r="N86" s="14" t="n"/>
      <c r="O86" s="14" t="n"/>
      <c r="P86" s="15">
        <f>IF(M86="","",M86+IF(N86="",0,N86)-IF(O86="",0,O86))</f>
        <v/>
      </c>
      <c r="Q86" s="15">
        <f>IFERROR(P86/J86,"")</f>
        <v/>
      </c>
      <c r="R86" s="16" t="n"/>
      <c r="S86" s="14" t="n"/>
      <c r="T86" s="17">
        <f>IFERROR(P86/S86,"")</f>
        <v/>
      </c>
      <c r="U86" s="10" t="n"/>
      <c r="V86" s="10" t="n"/>
      <c r="W86" s="10" t="n"/>
      <c r="X86" s="10" t="n"/>
      <c r="Y86" s="10" t="n"/>
    </row>
    <row r="87">
      <c r="A87" s="11">
        <f>IF(B87="","",ROW()-3)</f>
        <v/>
      </c>
      <c r="B87" s="12" t="n"/>
      <c r="C87" s="10" t="n"/>
      <c r="D87" s="10" t="n"/>
      <c r="E87" s="10" t="n"/>
      <c r="F87" s="13" t="n"/>
      <c r="G87" s="13" t="n"/>
      <c r="H87" s="14" t="n"/>
      <c r="I87" s="14" t="n"/>
      <c r="J87" s="15">
        <f>IF(OR(H87="",I87=""),"",I87-H87)</f>
        <v/>
      </c>
      <c r="K87" s="14" t="n"/>
      <c r="L87" s="14" t="n"/>
      <c r="M87" s="14" t="n"/>
      <c r="N87" s="14" t="n"/>
      <c r="O87" s="14" t="n"/>
      <c r="P87" s="15">
        <f>IF(M87="","",M87+IF(N87="",0,N87)-IF(O87="",0,O87))</f>
        <v/>
      </c>
      <c r="Q87" s="15">
        <f>IFERROR(P87/J87,"")</f>
        <v/>
      </c>
      <c r="R87" s="16" t="n"/>
      <c r="S87" s="14" t="n"/>
      <c r="T87" s="17">
        <f>IFERROR(P87/S87,"")</f>
        <v/>
      </c>
      <c r="U87" s="10" t="n"/>
      <c r="V87" s="10" t="n"/>
      <c r="W87" s="10" t="n"/>
      <c r="X87" s="10" t="n"/>
      <c r="Y87" s="10" t="n"/>
    </row>
    <row r="88">
      <c r="A88" s="11">
        <f>IF(B88="","",ROW()-3)</f>
        <v/>
      </c>
      <c r="B88" s="12" t="n"/>
      <c r="C88" s="10" t="n"/>
      <c r="D88" s="10" t="n"/>
      <c r="E88" s="10" t="n"/>
      <c r="F88" s="13" t="n"/>
      <c r="G88" s="13" t="n"/>
      <c r="H88" s="14" t="n"/>
      <c r="I88" s="14" t="n"/>
      <c r="J88" s="15">
        <f>IF(OR(H88="",I88=""),"",I88-H88)</f>
        <v/>
      </c>
      <c r="K88" s="14" t="n"/>
      <c r="L88" s="14" t="n"/>
      <c r="M88" s="14" t="n"/>
      <c r="N88" s="14" t="n"/>
      <c r="O88" s="14" t="n"/>
      <c r="P88" s="15">
        <f>IF(M88="","",M88+IF(N88="",0,N88)-IF(O88="",0,O88))</f>
        <v/>
      </c>
      <c r="Q88" s="15">
        <f>IFERROR(P88/J88,"")</f>
        <v/>
      </c>
      <c r="R88" s="16" t="n"/>
      <c r="S88" s="14" t="n"/>
      <c r="T88" s="17">
        <f>IFERROR(P88/S88,"")</f>
        <v/>
      </c>
      <c r="U88" s="10" t="n"/>
      <c r="V88" s="10" t="n"/>
      <c r="W88" s="10" t="n"/>
      <c r="X88" s="10" t="n"/>
      <c r="Y88" s="10" t="n"/>
    </row>
    <row r="89">
      <c r="A89" s="11">
        <f>IF(B89="","",ROW()-3)</f>
        <v/>
      </c>
      <c r="B89" s="12" t="n"/>
      <c r="C89" s="10" t="n"/>
      <c r="D89" s="10" t="n"/>
      <c r="E89" s="10" t="n"/>
      <c r="F89" s="13" t="n"/>
      <c r="G89" s="13" t="n"/>
      <c r="H89" s="14" t="n"/>
      <c r="I89" s="14" t="n"/>
      <c r="J89" s="15">
        <f>IF(OR(H89="",I89=""),"",I89-H89)</f>
        <v/>
      </c>
      <c r="K89" s="14" t="n"/>
      <c r="L89" s="14" t="n"/>
      <c r="M89" s="14" t="n"/>
      <c r="N89" s="14" t="n"/>
      <c r="O89" s="14" t="n"/>
      <c r="P89" s="15">
        <f>IF(M89="","",M89+IF(N89="",0,N89)-IF(O89="",0,O89))</f>
        <v/>
      </c>
      <c r="Q89" s="15">
        <f>IFERROR(P89/J89,"")</f>
        <v/>
      </c>
      <c r="R89" s="16" t="n"/>
      <c r="S89" s="14" t="n"/>
      <c r="T89" s="17">
        <f>IFERROR(P89/S89,"")</f>
        <v/>
      </c>
      <c r="U89" s="10" t="n"/>
      <c r="V89" s="10" t="n"/>
      <c r="W89" s="10" t="n"/>
      <c r="X89" s="10" t="n"/>
      <c r="Y89" s="10" t="n"/>
    </row>
    <row r="90">
      <c r="A90" s="11">
        <f>IF(B90="","",ROW()-3)</f>
        <v/>
      </c>
      <c r="B90" s="12" t="n"/>
      <c r="C90" s="10" t="n"/>
      <c r="D90" s="10" t="n"/>
      <c r="E90" s="10" t="n"/>
      <c r="F90" s="13" t="n"/>
      <c r="G90" s="13" t="n"/>
      <c r="H90" s="14" t="n"/>
      <c r="I90" s="14" t="n"/>
      <c r="J90" s="15">
        <f>IF(OR(H90="",I90=""),"",I90-H90)</f>
        <v/>
      </c>
      <c r="K90" s="14" t="n"/>
      <c r="L90" s="14" t="n"/>
      <c r="M90" s="14" t="n"/>
      <c r="N90" s="14" t="n"/>
      <c r="O90" s="14" t="n"/>
      <c r="P90" s="15">
        <f>IF(M90="","",M90+IF(N90="",0,N90)-IF(O90="",0,O90))</f>
        <v/>
      </c>
      <c r="Q90" s="15">
        <f>IFERROR(P90/J90,"")</f>
        <v/>
      </c>
      <c r="R90" s="16" t="n"/>
      <c r="S90" s="14" t="n"/>
      <c r="T90" s="17">
        <f>IFERROR(P90/S90,"")</f>
        <v/>
      </c>
      <c r="U90" s="10" t="n"/>
      <c r="V90" s="10" t="n"/>
      <c r="W90" s="10" t="n"/>
      <c r="X90" s="10" t="n"/>
      <c r="Y90" s="10" t="n"/>
    </row>
    <row r="91">
      <c r="A91" s="11">
        <f>IF(B91="","",ROW()-3)</f>
        <v/>
      </c>
      <c r="B91" s="12" t="n"/>
      <c r="C91" s="10" t="n"/>
      <c r="D91" s="10" t="n"/>
      <c r="E91" s="10" t="n"/>
      <c r="F91" s="13" t="n"/>
      <c r="G91" s="13" t="n"/>
      <c r="H91" s="14" t="n"/>
      <c r="I91" s="14" t="n"/>
      <c r="J91" s="15">
        <f>IF(OR(H91="",I91=""),"",I91-H91)</f>
        <v/>
      </c>
      <c r="K91" s="14" t="n"/>
      <c r="L91" s="14" t="n"/>
      <c r="M91" s="14" t="n"/>
      <c r="N91" s="14" t="n"/>
      <c r="O91" s="14" t="n"/>
      <c r="P91" s="15">
        <f>IF(M91="","",M91+IF(N91="",0,N91)-IF(O91="",0,O91))</f>
        <v/>
      </c>
      <c r="Q91" s="15">
        <f>IFERROR(P91/J91,"")</f>
        <v/>
      </c>
      <c r="R91" s="16" t="n"/>
      <c r="S91" s="14" t="n"/>
      <c r="T91" s="17">
        <f>IFERROR(P91/S91,"")</f>
        <v/>
      </c>
      <c r="U91" s="10" t="n"/>
      <c r="V91" s="10" t="n"/>
      <c r="W91" s="10" t="n"/>
      <c r="X91" s="10" t="n"/>
      <c r="Y91" s="10" t="n"/>
    </row>
    <row r="92">
      <c r="A92" s="11">
        <f>IF(B92="","",ROW()-3)</f>
        <v/>
      </c>
      <c r="B92" s="12" t="n"/>
      <c r="C92" s="10" t="n"/>
      <c r="D92" s="10" t="n"/>
      <c r="E92" s="10" t="n"/>
      <c r="F92" s="13" t="n"/>
      <c r="G92" s="13" t="n"/>
      <c r="H92" s="14" t="n"/>
      <c r="I92" s="14" t="n"/>
      <c r="J92" s="15">
        <f>IF(OR(H92="",I92=""),"",I92-H92)</f>
        <v/>
      </c>
      <c r="K92" s="14" t="n"/>
      <c r="L92" s="14" t="n"/>
      <c r="M92" s="14" t="n"/>
      <c r="N92" s="14" t="n"/>
      <c r="O92" s="14" t="n"/>
      <c r="P92" s="15">
        <f>IF(M92="","",M92+IF(N92="",0,N92)-IF(O92="",0,O92))</f>
        <v/>
      </c>
      <c r="Q92" s="15">
        <f>IFERROR(P92/J92,"")</f>
        <v/>
      </c>
      <c r="R92" s="16" t="n"/>
      <c r="S92" s="14" t="n"/>
      <c r="T92" s="17">
        <f>IFERROR(P92/S92,"")</f>
        <v/>
      </c>
      <c r="U92" s="10" t="n"/>
      <c r="V92" s="10" t="n"/>
      <c r="W92" s="10" t="n"/>
      <c r="X92" s="10" t="n"/>
      <c r="Y92" s="10" t="n"/>
    </row>
    <row r="93">
      <c r="A93" s="11">
        <f>IF(B93="","",ROW()-3)</f>
        <v/>
      </c>
      <c r="B93" s="12" t="n"/>
      <c r="C93" s="10" t="n"/>
      <c r="D93" s="10" t="n"/>
      <c r="E93" s="10" t="n"/>
      <c r="F93" s="13" t="n"/>
      <c r="G93" s="13" t="n"/>
      <c r="H93" s="14" t="n"/>
      <c r="I93" s="14" t="n"/>
      <c r="J93" s="15">
        <f>IF(OR(H93="",I93=""),"",I93-H93)</f>
        <v/>
      </c>
      <c r="K93" s="14" t="n"/>
      <c r="L93" s="14" t="n"/>
      <c r="M93" s="14" t="n"/>
      <c r="N93" s="14" t="n"/>
      <c r="O93" s="14" t="n"/>
      <c r="P93" s="15">
        <f>IF(M93="","",M93+IF(N93="",0,N93)-IF(O93="",0,O93))</f>
        <v/>
      </c>
      <c r="Q93" s="15">
        <f>IFERROR(P93/J93,"")</f>
        <v/>
      </c>
      <c r="R93" s="16" t="n"/>
      <c r="S93" s="14" t="n"/>
      <c r="T93" s="17">
        <f>IFERROR(P93/S93,"")</f>
        <v/>
      </c>
      <c r="U93" s="10" t="n"/>
      <c r="V93" s="10" t="n"/>
      <c r="W93" s="10" t="n"/>
      <c r="X93" s="10" t="n"/>
      <c r="Y93" s="10" t="n"/>
    </row>
    <row r="94">
      <c r="A94" s="11">
        <f>IF(B94="","",ROW()-3)</f>
        <v/>
      </c>
      <c r="B94" s="12" t="n"/>
      <c r="C94" s="10" t="n"/>
      <c r="D94" s="10" t="n"/>
      <c r="E94" s="10" t="n"/>
      <c r="F94" s="13" t="n"/>
      <c r="G94" s="13" t="n"/>
      <c r="H94" s="14" t="n"/>
      <c r="I94" s="14" t="n"/>
      <c r="J94" s="15">
        <f>IF(OR(H94="",I94=""),"",I94-H94)</f>
        <v/>
      </c>
      <c r="K94" s="14" t="n"/>
      <c r="L94" s="14" t="n"/>
      <c r="M94" s="14" t="n"/>
      <c r="N94" s="14" t="n"/>
      <c r="O94" s="14" t="n"/>
      <c r="P94" s="15">
        <f>IF(M94="","",M94+IF(N94="",0,N94)-IF(O94="",0,O94))</f>
        <v/>
      </c>
      <c r="Q94" s="15">
        <f>IFERROR(P94/J94,"")</f>
        <v/>
      </c>
      <c r="R94" s="16" t="n"/>
      <c r="S94" s="14" t="n"/>
      <c r="T94" s="17">
        <f>IFERROR(P94/S94,"")</f>
        <v/>
      </c>
      <c r="U94" s="10" t="n"/>
      <c r="V94" s="10" t="n"/>
      <c r="W94" s="10" t="n"/>
      <c r="X94" s="10" t="n"/>
      <c r="Y94" s="10" t="n"/>
    </row>
    <row r="95">
      <c r="A95" s="11">
        <f>IF(B95="","",ROW()-3)</f>
        <v/>
      </c>
      <c r="B95" s="12" t="n"/>
      <c r="C95" s="10" t="n"/>
      <c r="D95" s="10" t="n"/>
      <c r="E95" s="10" t="n"/>
      <c r="F95" s="13" t="n"/>
      <c r="G95" s="13" t="n"/>
      <c r="H95" s="14" t="n"/>
      <c r="I95" s="14" t="n"/>
      <c r="J95" s="15">
        <f>IF(OR(H95="",I95=""),"",I95-H95)</f>
        <v/>
      </c>
      <c r="K95" s="14" t="n"/>
      <c r="L95" s="14" t="n"/>
      <c r="M95" s="14" t="n"/>
      <c r="N95" s="14" t="n"/>
      <c r="O95" s="14" t="n"/>
      <c r="P95" s="15">
        <f>IF(M95="","",M95+IF(N95="",0,N95)-IF(O95="",0,O95))</f>
        <v/>
      </c>
      <c r="Q95" s="15">
        <f>IFERROR(P95/J95,"")</f>
        <v/>
      </c>
      <c r="R95" s="16" t="n"/>
      <c r="S95" s="14" t="n"/>
      <c r="T95" s="17">
        <f>IFERROR(P95/S95,"")</f>
        <v/>
      </c>
      <c r="U95" s="10" t="n"/>
      <c r="V95" s="10" t="n"/>
      <c r="W95" s="10" t="n"/>
      <c r="X95" s="10" t="n"/>
      <c r="Y95" s="10" t="n"/>
    </row>
    <row r="96">
      <c r="A96" s="11">
        <f>IF(B96="","",ROW()-3)</f>
        <v/>
      </c>
      <c r="B96" s="12" t="n"/>
      <c r="C96" s="10" t="n"/>
      <c r="D96" s="10" t="n"/>
      <c r="E96" s="10" t="n"/>
      <c r="F96" s="13" t="n"/>
      <c r="G96" s="13" t="n"/>
      <c r="H96" s="14" t="n"/>
      <c r="I96" s="14" t="n"/>
      <c r="J96" s="15">
        <f>IF(OR(H96="",I96=""),"",I96-H96)</f>
        <v/>
      </c>
      <c r="K96" s="14" t="n"/>
      <c r="L96" s="14" t="n"/>
      <c r="M96" s="14" t="n"/>
      <c r="N96" s="14" t="n"/>
      <c r="O96" s="14" t="n"/>
      <c r="P96" s="15">
        <f>IF(M96="","",M96+IF(N96="",0,N96)-IF(O96="",0,O96))</f>
        <v/>
      </c>
      <c r="Q96" s="15">
        <f>IFERROR(P96/J96,"")</f>
        <v/>
      </c>
      <c r="R96" s="16" t="n"/>
      <c r="S96" s="14" t="n"/>
      <c r="T96" s="17">
        <f>IFERROR(P96/S96,"")</f>
        <v/>
      </c>
      <c r="U96" s="10" t="n"/>
      <c r="V96" s="10" t="n"/>
      <c r="W96" s="10" t="n"/>
      <c r="X96" s="10" t="n"/>
      <c r="Y96" s="10" t="n"/>
    </row>
    <row r="97">
      <c r="A97" s="11">
        <f>IF(B97="","",ROW()-3)</f>
        <v/>
      </c>
      <c r="B97" s="12" t="n"/>
      <c r="C97" s="10" t="n"/>
      <c r="D97" s="10" t="n"/>
      <c r="E97" s="10" t="n"/>
      <c r="F97" s="13" t="n"/>
      <c r="G97" s="13" t="n"/>
      <c r="H97" s="14" t="n"/>
      <c r="I97" s="14" t="n"/>
      <c r="J97" s="15">
        <f>IF(OR(H97="",I97=""),"",I97-H97)</f>
        <v/>
      </c>
      <c r="K97" s="14" t="n"/>
      <c r="L97" s="14" t="n"/>
      <c r="M97" s="14" t="n"/>
      <c r="N97" s="14" t="n"/>
      <c r="O97" s="14" t="n"/>
      <c r="P97" s="15">
        <f>IF(M97="","",M97+IF(N97="",0,N97)-IF(O97="",0,O97))</f>
        <v/>
      </c>
      <c r="Q97" s="15">
        <f>IFERROR(P97/J97,"")</f>
        <v/>
      </c>
      <c r="R97" s="16" t="n"/>
      <c r="S97" s="14" t="n"/>
      <c r="T97" s="17">
        <f>IFERROR(P97/S97,"")</f>
        <v/>
      </c>
      <c r="U97" s="10" t="n"/>
      <c r="V97" s="10" t="n"/>
      <c r="W97" s="10" t="n"/>
      <c r="X97" s="10" t="n"/>
      <c r="Y97" s="10" t="n"/>
    </row>
    <row r="98">
      <c r="A98" s="11">
        <f>IF(B98="","",ROW()-3)</f>
        <v/>
      </c>
      <c r="B98" s="12" t="n"/>
      <c r="C98" s="10" t="n"/>
      <c r="D98" s="10" t="n"/>
      <c r="E98" s="10" t="n"/>
      <c r="F98" s="13" t="n"/>
      <c r="G98" s="13" t="n"/>
      <c r="H98" s="14" t="n"/>
      <c r="I98" s="14" t="n"/>
      <c r="J98" s="15">
        <f>IF(OR(H98="",I98=""),"",I98-H98)</f>
        <v/>
      </c>
      <c r="K98" s="14" t="n"/>
      <c r="L98" s="14" t="n"/>
      <c r="M98" s="14" t="n"/>
      <c r="N98" s="14" t="n"/>
      <c r="O98" s="14" t="n"/>
      <c r="P98" s="15">
        <f>IF(M98="","",M98+IF(N98="",0,N98)-IF(O98="",0,O98))</f>
        <v/>
      </c>
      <c r="Q98" s="15">
        <f>IFERROR(P98/J98,"")</f>
        <v/>
      </c>
      <c r="R98" s="16" t="n"/>
      <c r="S98" s="14" t="n"/>
      <c r="T98" s="17">
        <f>IFERROR(P98/S98,"")</f>
        <v/>
      </c>
      <c r="U98" s="10" t="n"/>
      <c r="V98" s="10" t="n"/>
      <c r="W98" s="10" t="n"/>
      <c r="X98" s="10" t="n"/>
      <c r="Y98" s="10" t="n"/>
    </row>
    <row r="99">
      <c r="A99" s="11">
        <f>IF(B99="","",ROW()-3)</f>
        <v/>
      </c>
      <c r="B99" s="12" t="n"/>
      <c r="C99" s="10" t="n"/>
      <c r="D99" s="10" t="n"/>
      <c r="E99" s="10" t="n"/>
      <c r="F99" s="13" t="n"/>
      <c r="G99" s="13" t="n"/>
      <c r="H99" s="14" t="n"/>
      <c r="I99" s="14" t="n"/>
      <c r="J99" s="15">
        <f>IF(OR(H99="",I99=""),"",I99-H99)</f>
        <v/>
      </c>
      <c r="K99" s="14" t="n"/>
      <c r="L99" s="14" t="n"/>
      <c r="M99" s="14" t="n"/>
      <c r="N99" s="14" t="n"/>
      <c r="O99" s="14" t="n"/>
      <c r="P99" s="15">
        <f>IF(M99="","",M99+IF(N99="",0,N99)-IF(O99="",0,O99))</f>
        <v/>
      </c>
      <c r="Q99" s="15">
        <f>IFERROR(P99/J99,"")</f>
        <v/>
      </c>
      <c r="R99" s="16" t="n"/>
      <c r="S99" s="14" t="n"/>
      <c r="T99" s="17">
        <f>IFERROR(P99/S99,"")</f>
        <v/>
      </c>
      <c r="U99" s="10" t="n"/>
      <c r="V99" s="10" t="n"/>
      <c r="W99" s="10" t="n"/>
      <c r="X99" s="10" t="n"/>
      <c r="Y99" s="10" t="n"/>
    </row>
    <row r="100">
      <c r="A100" s="11">
        <f>IF(B100="","",ROW()-3)</f>
        <v/>
      </c>
      <c r="B100" s="12" t="n"/>
      <c r="C100" s="10" t="n"/>
      <c r="D100" s="10" t="n"/>
      <c r="E100" s="10" t="n"/>
      <c r="F100" s="13" t="n"/>
      <c r="G100" s="13" t="n"/>
      <c r="H100" s="14" t="n"/>
      <c r="I100" s="14" t="n"/>
      <c r="J100" s="15">
        <f>IF(OR(H100="",I100=""),"",I100-H100)</f>
        <v/>
      </c>
      <c r="K100" s="14" t="n"/>
      <c r="L100" s="14" t="n"/>
      <c r="M100" s="14" t="n"/>
      <c r="N100" s="14" t="n"/>
      <c r="O100" s="14" t="n"/>
      <c r="P100" s="15">
        <f>IF(M100="","",M100+IF(N100="",0,N100)-IF(O100="",0,O100))</f>
        <v/>
      </c>
      <c r="Q100" s="15">
        <f>IFERROR(P100/J100,"")</f>
        <v/>
      </c>
      <c r="R100" s="16" t="n"/>
      <c r="S100" s="14" t="n"/>
      <c r="T100" s="17">
        <f>IFERROR(P100/S100,"")</f>
        <v/>
      </c>
      <c r="U100" s="10" t="n"/>
      <c r="V100" s="10" t="n"/>
      <c r="W100" s="10" t="n"/>
      <c r="X100" s="10" t="n"/>
      <c r="Y100" s="10" t="n"/>
    </row>
    <row r="101">
      <c r="A101" s="11">
        <f>IF(B101="","",ROW()-3)</f>
        <v/>
      </c>
      <c r="B101" s="12" t="n"/>
      <c r="C101" s="10" t="n"/>
      <c r="D101" s="10" t="n"/>
      <c r="E101" s="10" t="n"/>
      <c r="F101" s="13" t="n"/>
      <c r="G101" s="13" t="n"/>
      <c r="H101" s="14" t="n"/>
      <c r="I101" s="14" t="n"/>
      <c r="J101" s="15">
        <f>IF(OR(H101="",I101=""),"",I101-H101)</f>
        <v/>
      </c>
      <c r="K101" s="14" t="n"/>
      <c r="L101" s="14" t="n"/>
      <c r="M101" s="14" t="n"/>
      <c r="N101" s="14" t="n"/>
      <c r="O101" s="14" t="n"/>
      <c r="P101" s="15">
        <f>IF(M101="","",M101+IF(N101="",0,N101)-IF(O101="",0,O101))</f>
        <v/>
      </c>
      <c r="Q101" s="15">
        <f>IFERROR(P101/J101,"")</f>
        <v/>
      </c>
      <c r="R101" s="16" t="n"/>
      <c r="S101" s="14" t="n"/>
      <c r="T101" s="17">
        <f>IFERROR(P101/S101,"")</f>
        <v/>
      </c>
      <c r="U101" s="10" t="n"/>
      <c r="V101" s="10" t="n"/>
      <c r="W101" s="10" t="n"/>
      <c r="X101" s="10" t="n"/>
      <c r="Y101" s="10" t="n"/>
    </row>
    <row r="102">
      <c r="A102" s="11">
        <f>IF(B102="","",ROW()-3)</f>
        <v/>
      </c>
      <c r="B102" s="12" t="n"/>
      <c r="C102" s="10" t="n"/>
      <c r="D102" s="10" t="n"/>
      <c r="E102" s="10" t="n"/>
      <c r="F102" s="13" t="n"/>
      <c r="G102" s="13" t="n"/>
      <c r="H102" s="14" t="n"/>
      <c r="I102" s="14" t="n"/>
      <c r="J102" s="15">
        <f>IF(OR(H102="",I102=""),"",I102-H102)</f>
        <v/>
      </c>
      <c r="K102" s="14" t="n"/>
      <c r="L102" s="14" t="n"/>
      <c r="M102" s="14" t="n"/>
      <c r="N102" s="14" t="n"/>
      <c r="O102" s="14" t="n"/>
      <c r="P102" s="15">
        <f>IF(M102="","",M102+IF(N102="",0,N102)-IF(O102="",0,O102))</f>
        <v/>
      </c>
      <c r="Q102" s="15">
        <f>IFERROR(P102/J102,"")</f>
        <v/>
      </c>
      <c r="R102" s="16" t="n"/>
      <c r="S102" s="14" t="n"/>
      <c r="T102" s="17">
        <f>IFERROR(P102/S102,"")</f>
        <v/>
      </c>
      <c r="U102" s="10" t="n"/>
      <c r="V102" s="10" t="n"/>
      <c r="W102" s="10" t="n"/>
      <c r="X102" s="10" t="n"/>
      <c r="Y102" s="10" t="n"/>
    </row>
    <row r="103">
      <c r="A103" s="11">
        <f>IF(B103="","",ROW()-3)</f>
        <v/>
      </c>
      <c r="B103" s="12" t="n"/>
      <c r="C103" s="10" t="n"/>
      <c r="D103" s="10" t="n"/>
      <c r="E103" s="10" t="n"/>
      <c r="F103" s="13" t="n"/>
      <c r="G103" s="13" t="n"/>
      <c r="H103" s="14" t="n"/>
      <c r="I103" s="14" t="n"/>
      <c r="J103" s="15">
        <f>IF(OR(H103="",I103=""),"",I103-H103)</f>
        <v/>
      </c>
      <c r="K103" s="14" t="n"/>
      <c r="L103" s="14" t="n"/>
      <c r="M103" s="14" t="n"/>
      <c r="N103" s="14" t="n"/>
      <c r="O103" s="14" t="n"/>
      <c r="P103" s="15">
        <f>IF(M103="","",M103+IF(N103="",0,N103)-IF(O103="",0,O103))</f>
        <v/>
      </c>
      <c r="Q103" s="15">
        <f>IFERROR(P103/J103,"")</f>
        <v/>
      </c>
      <c r="R103" s="16" t="n"/>
      <c r="S103" s="14" t="n"/>
      <c r="T103" s="17">
        <f>IFERROR(P103/S103,"")</f>
        <v/>
      </c>
      <c r="U103" s="10" t="n"/>
      <c r="V103" s="10" t="n"/>
      <c r="W103" s="10" t="n"/>
      <c r="X103" s="10" t="n"/>
      <c r="Y103" s="10" t="n"/>
    </row>
  </sheetData>
  <mergeCells count="1">
    <mergeCell ref="A1:Y1"/>
  </mergeCells>
  <conditionalFormatting sqref="O4:O103">
    <cfRule type="cellIs" priority="1" operator="greaterThan" dxfId="0" stopIfTrue="0">
      <formula>0</formula>
    </cfRule>
  </conditionalFormatting>
  <conditionalFormatting sqref="X4:X103">
    <cfRule type="cellIs" priority="2" operator="equal" dxfId="1" stopIfTrue="0">
      <formula>"Non"</formula>
    </cfRule>
    <cfRule type="cellIs" priority="3" operator="equal" dxfId="2" stopIfTrue="0">
      <formula>"Oui"</formula>
    </cfRule>
  </conditionalFormatting>
  <conditionalFormatting sqref="P4:P103">
    <cfRule type="dataBar" priority="4">
      <dataBar showValue="1">
        <cfvo type="num" val="0"/>
        <cfvo type="max"/>
        <color rgb="002E75B6"/>
      </dataBar>
    </cfRule>
  </conditionalFormatting>
  <dataValidations count="6">
    <dataValidation sqref="C4:C103" showDropDown="0" showInputMessage="0" showErrorMessage="0" allowBlank="1" errorTitle="Liste de valeurs" error="Valeur non autorisée : choisissez un élément de la liste." type="list">
      <formula1>=Référentiels!$A$4:$A$6</formula1>
    </dataValidation>
    <dataValidation sqref="D4:D103" showDropDown="0" showInputMessage="0" showErrorMessage="0" allowBlank="1" errorTitle="Liste de valeurs" error="Valeur non autorisée : choisissez un élément de la liste." type="list">
      <formula1>=Référentiels!$B$4:$B$6</formula1>
    </dataValidation>
    <dataValidation sqref="E4:E103" showDropDown="0" showInputMessage="0" showErrorMessage="0" allowBlank="1" errorTitle="Liste de valeurs" error="Valeur non autorisée : choisissez un élément de la liste." type="list">
      <formula1>=Référentiels!$D$4:$D$7</formula1>
    </dataValidation>
    <dataValidation sqref="V4:V103" showDropDown="0" showInputMessage="0" showErrorMessage="0" allowBlank="1" errorTitle="Liste de valeurs" error="Valeur non autorisée : choisissez un élément de la liste." type="list">
      <formula1>=Référentiels!$C$4:$C$6</formula1>
    </dataValidation>
    <dataValidation sqref="X4:X103" showDropDown="0" showInputMessage="0" showErrorMessage="0" allowBlank="1" errorTitle="Liste de valeurs" error="Valeur non autorisée : choisissez un élément de la liste." type="list">
      <formula1>=Référentiels!$G$4:$G$5</formula1>
    </dataValidation>
    <dataValidation sqref="M4:O103" showDropDown="0" showInputMessage="0" showErrorMessage="0" allowBlank="1" errorTitle="Valeur invalide" error="La valeur doit être un nombre positif ou nul." type="decimal" operator="greaterThanOrEqual">
      <formula1>0</formula1>
    </dataValidation>
  </dataValidations>
  <pageMargins left="0.75" right="0.75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 fitToPage="1"/>
  </sheetPr>
  <dimension ref="A1:N203"/>
  <sheetViews>
    <sheetView workbookViewId="0">
      <pane xSplit="3" ySplit="3" topLeftCell="D4" activePane="bottomRight" state="frozen"/>
      <selection pane="topRight"/>
      <selection pane="bottomLeft"/>
      <selection pane="bottomRight" activeCell="A1" sqref="A1"/>
    </sheetView>
  </sheetViews>
  <sheetFormatPr baseColWidth="8" defaultRowHeight="15" outlineLevelCol="0"/>
  <cols>
    <col width="5" customWidth="1" min="1" max="1"/>
    <col width="11" customWidth="1" min="2" max="2"/>
    <col width="9" customWidth="1" min="3" max="3"/>
    <col width="10" customWidth="1" min="4" max="4"/>
    <col width="18" customWidth="1" min="5" max="5"/>
    <col width="12" customWidth="1" min="6" max="6"/>
    <col width="12" customWidth="1" min="7" max="7"/>
    <col width="8" customWidth="1" min="8" max="8"/>
    <col width="12" customWidth="1" min="9" max="9"/>
    <col width="10" customWidth="1" min="10" max="10"/>
    <col width="14" customWidth="1" min="11" max="11"/>
    <col width="15" customWidth="1" min="12" max="12"/>
    <col width="13" customWidth="1" min="13" max="13"/>
    <col width="26" customWidth="1" min="14" max="14"/>
  </cols>
  <sheetData>
    <row r="1" ht="26" customHeight="1">
      <c r="A1" s="1" t="inlineStr">
        <is>
          <t>SUIVI DE LA PRODUCTION D'EAU — DÉBITMÈTRES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</row>
    <row r="2">
      <c r="A2" s="8" t="inlineStr">
        <is>
          <t>Relever les index du débitmètre en début et fin de pompage ; le volume et le débit sont calculés automatiquement.</t>
        </is>
      </c>
    </row>
    <row r="3" ht="42" customHeight="1">
      <c r="A3" s="9" t="inlineStr">
        <is>
          <t>N°</t>
        </is>
      </c>
      <c r="B3" s="9" t="inlineStr">
        <is>
          <t>Date</t>
        </is>
      </c>
      <c r="C3" s="9" t="inlineStr">
        <is>
          <t>Heure</t>
        </is>
      </c>
      <c r="D3" s="9" t="inlineStr">
        <is>
          <t>Site</t>
        </is>
      </c>
      <c r="E3" s="9" t="inlineStr">
        <is>
          <t>Débitmètre / conduite</t>
        </is>
      </c>
      <c r="F3" s="9" t="inlineStr">
        <is>
          <t>Index début</t>
        </is>
      </c>
      <c r="G3" s="9" t="inlineStr">
        <is>
          <t>Index fin</t>
        </is>
      </c>
      <c r="H3" s="9" t="inlineStr">
        <is>
          <t>Unité</t>
        </is>
      </c>
      <c r="I3" s="9" t="inlineStr">
        <is>
          <t>Volume</t>
        </is>
      </c>
      <c r="J3" s="9" t="inlineStr">
        <is>
          <t>Durée (h)</t>
        </is>
      </c>
      <c r="K3" s="9" t="inlineStr">
        <is>
          <t>Débit moyen (m³/h)</t>
        </is>
      </c>
      <c r="L3" s="9" t="inlineStr">
        <is>
          <t>Énergie utilisée (kWh)</t>
        </is>
      </c>
      <c r="M3" s="9" t="inlineStr">
        <is>
          <t>Source d'énergie</t>
        </is>
      </c>
      <c r="N3" s="9" t="inlineStr">
        <is>
          <t>Observations</t>
        </is>
      </c>
    </row>
    <row r="4">
      <c r="A4" s="11">
        <f>IF(B4="","",ROW()-3)</f>
        <v/>
      </c>
      <c r="B4" s="12" t="n"/>
      <c r="C4" s="13" t="n"/>
      <c r="D4" s="10" t="n"/>
      <c r="E4" s="10" t="n"/>
      <c r="F4" s="14" t="n"/>
      <c r="G4" s="14" t="n"/>
      <c r="H4" s="10" t="n"/>
      <c r="I4" s="18">
        <f>IF(OR(F4="",G4=""),"",G4-F4)</f>
        <v/>
      </c>
      <c r="J4" s="19" t="n"/>
      <c r="K4" s="15">
        <f>IFERROR(I4/J4,"")</f>
        <v/>
      </c>
      <c r="L4" s="14" t="n"/>
      <c r="M4" s="10" t="n"/>
      <c r="N4" s="10" t="n"/>
    </row>
    <row r="5">
      <c r="A5" s="11">
        <f>IF(B5="","",ROW()-3)</f>
        <v/>
      </c>
      <c r="B5" s="12" t="n"/>
      <c r="C5" s="13" t="n"/>
      <c r="D5" s="10" t="n"/>
      <c r="E5" s="10" t="n"/>
      <c r="F5" s="14" t="n"/>
      <c r="G5" s="14" t="n"/>
      <c r="H5" s="10" t="n"/>
      <c r="I5" s="18">
        <f>IF(OR(F5="",G5=""),"",G5-F5)</f>
        <v/>
      </c>
      <c r="J5" s="19" t="n"/>
      <c r="K5" s="15">
        <f>IFERROR(I5/J5,"")</f>
        <v/>
      </c>
      <c r="L5" s="14" t="n"/>
      <c r="M5" s="10" t="n"/>
      <c r="N5" s="10" t="n"/>
    </row>
    <row r="6">
      <c r="A6" s="11">
        <f>IF(B6="","",ROW()-3)</f>
        <v/>
      </c>
      <c r="B6" s="12" t="n"/>
      <c r="C6" s="13" t="n"/>
      <c r="D6" s="10" t="n"/>
      <c r="E6" s="10" t="n"/>
      <c r="F6" s="14" t="n"/>
      <c r="G6" s="14" t="n"/>
      <c r="H6" s="10" t="n"/>
      <c r="I6" s="18">
        <f>IF(OR(F6="",G6=""),"",G6-F6)</f>
        <v/>
      </c>
      <c r="J6" s="19" t="n"/>
      <c r="K6" s="15">
        <f>IFERROR(I6/J6,"")</f>
        <v/>
      </c>
      <c r="L6" s="14" t="n"/>
      <c r="M6" s="10" t="n"/>
      <c r="N6" s="10" t="n"/>
    </row>
    <row r="7">
      <c r="A7" s="11">
        <f>IF(B7="","",ROW()-3)</f>
        <v/>
      </c>
      <c r="B7" s="12" t="n"/>
      <c r="C7" s="13" t="n"/>
      <c r="D7" s="10" t="n"/>
      <c r="E7" s="10" t="n"/>
      <c r="F7" s="14" t="n"/>
      <c r="G7" s="14" t="n"/>
      <c r="H7" s="10" t="n"/>
      <c r="I7" s="18">
        <f>IF(OR(F7="",G7=""),"",G7-F7)</f>
        <v/>
      </c>
      <c r="J7" s="19" t="n"/>
      <c r="K7" s="15">
        <f>IFERROR(I7/J7,"")</f>
        <v/>
      </c>
      <c r="L7" s="14" t="n"/>
      <c r="M7" s="10" t="n"/>
      <c r="N7" s="10" t="n"/>
    </row>
    <row r="8">
      <c r="A8" s="11">
        <f>IF(B8="","",ROW()-3)</f>
        <v/>
      </c>
      <c r="B8" s="12" t="n"/>
      <c r="C8" s="13" t="n"/>
      <c r="D8" s="10" t="n"/>
      <c r="E8" s="10" t="n"/>
      <c r="F8" s="14" t="n"/>
      <c r="G8" s="14" t="n"/>
      <c r="H8" s="10" t="n"/>
      <c r="I8" s="18">
        <f>IF(OR(F8="",G8=""),"",G8-F8)</f>
        <v/>
      </c>
      <c r="J8" s="19" t="n"/>
      <c r="K8" s="15">
        <f>IFERROR(I8/J8,"")</f>
        <v/>
      </c>
      <c r="L8" s="14" t="n"/>
      <c r="M8" s="10" t="n"/>
      <c r="N8" s="10" t="n"/>
    </row>
    <row r="9">
      <c r="A9" s="11">
        <f>IF(B9="","",ROW()-3)</f>
        <v/>
      </c>
      <c r="B9" s="12" t="n"/>
      <c r="C9" s="13" t="n"/>
      <c r="D9" s="10" t="n"/>
      <c r="E9" s="10" t="n"/>
      <c r="F9" s="14" t="n"/>
      <c r="G9" s="14" t="n"/>
      <c r="H9" s="10" t="n"/>
      <c r="I9" s="18">
        <f>IF(OR(F9="",G9=""),"",G9-F9)</f>
        <v/>
      </c>
      <c r="J9" s="19" t="n"/>
      <c r="K9" s="15">
        <f>IFERROR(I9/J9,"")</f>
        <v/>
      </c>
      <c r="L9" s="14" t="n"/>
      <c r="M9" s="10" t="n"/>
      <c r="N9" s="10" t="n"/>
    </row>
    <row r="10">
      <c r="A10" s="11">
        <f>IF(B10="","",ROW()-3)</f>
        <v/>
      </c>
      <c r="B10" s="12" t="n"/>
      <c r="C10" s="13" t="n"/>
      <c r="D10" s="10" t="n"/>
      <c r="E10" s="10" t="n"/>
      <c r="F10" s="14" t="n"/>
      <c r="G10" s="14" t="n"/>
      <c r="H10" s="10" t="n"/>
      <c r="I10" s="18">
        <f>IF(OR(F10="",G10=""),"",G10-F10)</f>
        <v/>
      </c>
      <c r="J10" s="19" t="n"/>
      <c r="K10" s="15">
        <f>IFERROR(I10/J10,"")</f>
        <v/>
      </c>
      <c r="L10" s="14" t="n"/>
      <c r="M10" s="10" t="n"/>
      <c r="N10" s="10" t="n"/>
    </row>
    <row r="11">
      <c r="A11" s="11">
        <f>IF(B11="","",ROW()-3)</f>
        <v/>
      </c>
      <c r="B11" s="12" t="n"/>
      <c r="C11" s="13" t="n"/>
      <c r="D11" s="10" t="n"/>
      <c r="E11" s="10" t="n"/>
      <c r="F11" s="14" t="n"/>
      <c r="G11" s="14" t="n"/>
      <c r="H11" s="10" t="n"/>
      <c r="I11" s="18">
        <f>IF(OR(F11="",G11=""),"",G11-F11)</f>
        <v/>
      </c>
      <c r="J11" s="19" t="n"/>
      <c r="K11" s="15">
        <f>IFERROR(I11/J11,"")</f>
        <v/>
      </c>
      <c r="L11" s="14" t="n"/>
      <c r="M11" s="10" t="n"/>
      <c r="N11" s="10" t="n"/>
    </row>
    <row r="12">
      <c r="A12" s="11">
        <f>IF(B12="","",ROW()-3)</f>
        <v/>
      </c>
      <c r="B12" s="12" t="n"/>
      <c r="C12" s="13" t="n"/>
      <c r="D12" s="10" t="n"/>
      <c r="E12" s="10" t="n"/>
      <c r="F12" s="14" t="n"/>
      <c r="G12" s="14" t="n"/>
      <c r="H12" s="10" t="n"/>
      <c r="I12" s="18">
        <f>IF(OR(F12="",G12=""),"",G12-F12)</f>
        <v/>
      </c>
      <c r="J12" s="19" t="n"/>
      <c r="K12" s="15">
        <f>IFERROR(I12/J12,"")</f>
        <v/>
      </c>
      <c r="L12" s="14" t="n"/>
      <c r="M12" s="10" t="n"/>
      <c r="N12" s="10" t="n"/>
    </row>
    <row r="13">
      <c r="A13" s="11">
        <f>IF(B13="","",ROW()-3)</f>
        <v/>
      </c>
      <c r="B13" s="12" t="n"/>
      <c r="C13" s="13" t="n"/>
      <c r="D13" s="10" t="n"/>
      <c r="E13" s="10" t="n"/>
      <c r="F13" s="14" t="n"/>
      <c r="G13" s="14" t="n"/>
      <c r="H13" s="10" t="n"/>
      <c r="I13" s="18">
        <f>IF(OR(F13="",G13=""),"",G13-F13)</f>
        <v/>
      </c>
      <c r="J13" s="19" t="n"/>
      <c r="K13" s="15">
        <f>IFERROR(I13/J13,"")</f>
        <v/>
      </c>
      <c r="L13" s="14" t="n"/>
      <c r="M13" s="10" t="n"/>
      <c r="N13" s="10" t="n"/>
    </row>
    <row r="14">
      <c r="A14" s="11">
        <f>IF(B14="","",ROW()-3)</f>
        <v/>
      </c>
      <c r="B14" s="12" t="n"/>
      <c r="C14" s="13" t="n"/>
      <c r="D14" s="10" t="n"/>
      <c r="E14" s="10" t="n"/>
      <c r="F14" s="14" t="n"/>
      <c r="G14" s="14" t="n"/>
      <c r="H14" s="10" t="n"/>
      <c r="I14" s="18">
        <f>IF(OR(F14="",G14=""),"",G14-F14)</f>
        <v/>
      </c>
      <c r="J14" s="19" t="n"/>
      <c r="K14" s="15">
        <f>IFERROR(I14/J14,"")</f>
        <v/>
      </c>
      <c r="L14" s="14" t="n"/>
      <c r="M14" s="10" t="n"/>
      <c r="N14" s="10" t="n"/>
    </row>
    <row r="15">
      <c r="A15" s="11">
        <f>IF(B15="","",ROW()-3)</f>
        <v/>
      </c>
      <c r="B15" s="12" t="n"/>
      <c r="C15" s="13" t="n"/>
      <c r="D15" s="10" t="n"/>
      <c r="E15" s="10" t="n"/>
      <c r="F15" s="14" t="n"/>
      <c r="G15" s="14" t="n"/>
      <c r="H15" s="10" t="n"/>
      <c r="I15" s="18">
        <f>IF(OR(F15="",G15=""),"",G15-F15)</f>
        <v/>
      </c>
      <c r="J15" s="19" t="n"/>
      <c r="K15" s="15">
        <f>IFERROR(I15/J15,"")</f>
        <v/>
      </c>
      <c r="L15" s="14" t="n"/>
      <c r="M15" s="10" t="n"/>
      <c r="N15" s="10" t="n"/>
    </row>
    <row r="16">
      <c r="A16" s="11">
        <f>IF(B16="","",ROW()-3)</f>
        <v/>
      </c>
      <c r="B16" s="12" t="n"/>
      <c r="C16" s="13" t="n"/>
      <c r="D16" s="10" t="n"/>
      <c r="E16" s="10" t="n"/>
      <c r="F16" s="14" t="n"/>
      <c r="G16" s="14" t="n"/>
      <c r="H16" s="10" t="n"/>
      <c r="I16" s="18">
        <f>IF(OR(F16="",G16=""),"",G16-F16)</f>
        <v/>
      </c>
      <c r="J16" s="19" t="n"/>
      <c r="K16" s="15">
        <f>IFERROR(I16/J16,"")</f>
        <v/>
      </c>
      <c r="L16" s="14" t="n"/>
      <c r="M16" s="10" t="n"/>
      <c r="N16" s="10" t="n"/>
    </row>
    <row r="17">
      <c r="A17" s="11">
        <f>IF(B17="","",ROW()-3)</f>
        <v/>
      </c>
      <c r="B17" s="12" t="n"/>
      <c r="C17" s="13" t="n"/>
      <c r="D17" s="10" t="n"/>
      <c r="E17" s="10" t="n"/>
      <c r="F17" s="14" t="n"/>
      <c r="G17" s="14" t="n"/>
      <c r="H17" s="10" t="n"/>
      <c r="I17" s="18">
        <f>IF(OR(F17="",G17=""),"",G17-F17)</f>
        <v/>
      </c>
      <c r="J17" s="19" t="n"/>
      <c r="K17" s="15">
        <f>IFERROR(I17/J17,"")</f>
        <v/>
      </c>
      <c r="L17" s="14" t="n"/>
      <c r="M17" s="10" t="n"/>
      <c r="N17" s="10" t="n"/>
    </row>
    <row r="18">
      <c r="A18" s="11">
        <f>IF(B18="","",ROW()-3)</f>
        <v/>
      </c>
      <c r="B18" s="12" t="n"/>
      <c r="C18" s="13" t="n"/>
      <c r="D18" s="10" t="n"/>
      <c r="E18" s="10" t="n"/>
      <c r="F18" s="14" t="n"/>
      <c r="G18" s="14" t="n"/>
      <c r="H18" s="10" t="n"/>
      <c r="I18" s="18">
        <f>IF(OR(F18="",G18=""),"",G18-F18)</f>
        <v/>
      </c>
      <c r="J18" s="19" t="n"/>
      <c r="K18" s="15">
        <f>IFERROR(I18/J18,"")</f>
        <v/>
      </c>
      <c r="L18" s="14" t="n"/>
      <c r="M18" s="10" t="n"/>
      <c r="N18" s="10" t="n"/>
    </row>
    <row r="19">
      <c r="A19" s="11">
        <f>IF(B19="","",ROW()-3)</f>
        <v/>
      </c>
      <c r="B19" s="12" t="n"/>
      <c r="C19" s="13" t="n"/>
      <c r="D19" s="10" t="n"/>
      <c r="E19" s="10" t="n"/>
      <c r="F19" s="14" t="n"/>
      <c r="G19" s="14" t="n"/>
      <c r="H19" s="10" t="n"/>
      <c r="I19" s="18">
        <f>IF(OR(F19="",G19=""),"",G19-F19)</f>
        <v/>
      </c>
      <c r="J19" s="19" t="n"/>
      <c r="K19" s="15">
        <f>IFERROR(I19/J19,"")</f>
        <v/>
      </c>
      <c r="L19" s="14" t="n"/>
      <c r="M19" s="10" t="n"/>
      <c r="N19" s="10" t="n"/>
    </row>
    <row r="20">
      <c r="A20" s="11">
        <f>IF(B20="","",ROW()-3)</f>
        <v/>
      </c>
      <c r="B20" s="12" t="n"/>
      <c r="C20" s="13" t="n"/>
      <c r="D20" s="10" t="n"/>
      <c r="E20" s="10" t="n"/>
      <c r="F20" s="14" t="n"/>
      <c r="G20" s="14" t="n"/>
      <c r="H20" s="10" t="n"/>
      <c r="I20" s="18">
        <f>IF(OR(F20="",G20=""),"",G20-F20)</f>
        <v/>
      </c>
      <c r="J20" s="19" t="n"/>
      <c r="K20" s="15">
        <f>IFERROR(I20/J20,"")</f>
        <v/>
      </c>
      <c r="L20" s="14" t="n"/>
      <c r="M20" s="10" t="n"/>
      <c r="N20" s="10" t="n"/>
    </row>
    <row r="21">
      <c r="A21" s="11">
        <f>IF(B21="","",ROW()-3)</f>
        <v/>
      </c>
      <c r="B21" s="12" t="n"/>
      <c r="C21" s="13" t="n"/>
      <c r="D21" s="10" t="n"/>
      <c r="E21" s="10" t="n"/>
      <c r="F21" s="14" t="n"/>
      <c r="G21" s="14" t="n"/>
      <c r="H21" s="10" t="n"/>
      <c r="I21" s="18">
        <f>IF(OR(F21="",G21=""),"",G21-F21)</f>
        <v/>
      </c>
      <c r="J21" s="19" t="n"/>
      <c r="K21" s="15">
        <f>IFERROR(I21/J21,"")</f>
        <v/>
      </c>
      <c r="L21" s="14" t="n"/>
      <c r="M21" s="10" t="n"/>
      <c r="N21" s="10" t="n"/>
    </row>
    <row r="22">
      <c r="A22" s="11">
        <f>IF(B22="","",ROW()-3)</f>
        <v/>
      </c>
      <c r="B22" s="12" t="n"/>
      <c r="C22" s="13" t="n"/>
      <c r="D22" s="10" t="n"/>
      <c r="E22" s="10" t="n"/>
      <c r="F22" s="14" t="n"/>
      <c r="G22" s="14" t="n"/>
      <c r="H22" s="10" t="n"/>
      <c r="I22" s="18">
        <f>IF(OR(F22="",G22=""),"",G22-F22)</f>
        <v/>
      </c>
      <c r="J22" s="19" t="n"/>
      <c r="K22" s="15">
        <f>IFERROR(I22/J22,"")</f>
        <v/>
      </c>
      <c r="L22" s="14" t="n"/>
      <c r="M22" s="10" t="n"/>
      <c r="N22" s="10" t="n"/>
    </row>
    <row r="23">
      <c r="A23" s="11">
        <f>IF(B23="","",ROW()-3)</f>
        <v/>
      </c>
      <c r="B23" s="12" t="n"/>
      <c r="C23" s="13" t="n"/>
      <c r="D23" s="10" t="n"/>
      <c r="E23" s="10" t="n"/>
      <c r="F23" s="14" t="n"/>
      <c r="G23" s="14" t="n"/>
      <c r="H23" s="10" t="n"/>
      <c r="I23" s="18">
        <f>IF(OR(F23="",G23=""),"",G23-F23)</f>
        <v/>
      </c>
      <c r="J23" s="19" t="n"/>
      <c r="K23" s="15">
        <f>IFERROR(I23/J23,"")</f>
        <v/>
      </c>
      <c r="L23" s="14" t="n"/>
      <c r="M23" s="10" t="n"/>
      <c r="N23" s="10" t="n"/>
    </row>
    <row r="24">
      <c r="A24" s="11">
        <f>IF(B24="","",ROW()-3)</f>
        <v/>
      </c>
      <c r="B24" s="12" t="n"/>
      <c r="C24" s="13" t="n"/>
      <c r="D24" s="10" t="n"/>
      <c r="E24" s="10" t="n"/>
      <c r="F24" s="14" t="n"/>
      <c r="G24" s="14" t="n"/>
      <c r="H24" s="10" t="n"/>
      <c r="I24" s="18">
        <f>IF(OR(F24="",G24=""),"",G24-F24)</f>
        <v/>
      </c>
      <c r="J24" s="19" t="n"/>
      <c r="K24" s="15">
        <f>IFERROR(I24/J24,"")</f>
        <v/>
      </c>
      <c r="L24" s="14" t="n"/>
      <c r="M24" s="10" t="n"/>
      <c r="N24" s="10" t="n"/>
    </row>
    <row r="25">
      <c r="A25" s="11">
        <f>IF(B25="","",ROW()-3)</f>
        <v/>
      </c>
      <c r="B25" s="12" t="n"/>
      <c r="C25" s="13" t="n"/>
      <c r="D25" s="10" t="n"/>
      <c r="E25" s="10" t="n"/>
      <c r="F25" s="14" t="n"/>
      <c r="G25" s="14" t="n"/>
      <c r="H25" s="10" t="n"/>
      <c r="I25" s="18">
        <f>IF(OR(F25="",G25=""),"",G25-F25)</f>
        <v/>
      </c>
      <c r="J25" s="19" t="n"/>
      <c r="K25" s="15">
        <f>IFERROR(I25/J25,"")</f>
        <v/>
      </c>
      <c r="L25" s="14" t="n"/>
      <c r="M25" s="10" t="n"/>
      <c r="N25" s="10" t="n"/>
    </row>
    <row r="26">
      <c r="A26" s="11">
        <f>IF(B26="","",ROW()-3)</f>
        <v/>
      </c>
      <c r="B26" s="12" t="n"/>
      <c r="C26" s="13" t="n"/>
      <c r="D26" s="10" t="n"/>
      <c r="E26" s="10" t="n"/>
      <c r="F26" s="14" t="n"/>
      <c r="G26" s="14" t="n"/>
      <c r="H26" s="10" t="n"/>
      <c r="I26" s="18">
        <f>IF(OR(F26="",G26=""),"",G26-F26)</f>
        <v/>
      </c>
      <c r="J26" s="19" t="n"/>
      <c r="K26" s="15">
        <f>IFERROR(I26/J26,"")</f>
        <v/>
      </c>
      <c r="L26" s="14" t="n"/>
      <c r="M26" s="10" t="n"/>
      <c r="N26" s="10" t="n"/>
    </row>
    <row r="27">
      <c r="A27" s="11">
        <f>IF(B27="","",ROW()-3)</f>
        <v/>
      </c>
      <c r="B27" s="12" t="n"/>
      <c r="C27" s="13" t="n"/>
      <c r="D27" s="10" t="n"/>
      <c r="E27" s="10" t="n"/>
      <c r="F27" s="14" t="n"/>
      <c r="G27" s="14" t="n"/>
      <c r="H27" s="10" t="n"/>
      <c r="I27" s="18">
        <f>IF(OR(F27="",G27=""),"",G27-F27)</f>
        <v/>
      </c>
      <c r="J27" s="19" t="n"/>
      <c r="K27" s="15">
        <f>IFERROR(I27/J27,"")</f>
        <v/>
      </c>
      <c r="L27" s="14" t="n"/>
      <c r="M27" s="10" t="n"/>
      <c r="N27" s="10" t="n"/>
    </row>
    <row r="28">
      <c r="A28" s="11">
        <f>IF(B28="","",ROW()-3)</f>
        <v/>
      </c>
      <c r="B28" s="12" t="n"/>
      <c r="C28" s="13" t="n"/>
      <c r="D28" s="10" t="n"/>
      <c r="E28" s="10" t="n"/>
      <c r="F28" s="14" t="n"/>
      <c r="G28" s="14" t="n"/>
      <c r="H28" s="10" t="n"/>
      <c r="I28" s="18">
        <f>IF(OR(F28="",G28=""),"",G28-F28)</f>
        <v/>
      </c>
      <c r="J28" s="19" t="n"/>
      <c r="K28" s="15">
        <f>IFERROR(I28/J28,"")</f>
        <v/>
      </c>
      <c r="L28" s="14" t="n"/>
      <c r="M28" s="10" t="n"/>
      <c r="N28" s="10" t="n"/>
    </row>
    <row r="29">
      <c r="A29" s="11">
        <f>IF(B29="","",ROW()-3)</f>
        <v/>
      </c>
      <c r="B29" s="12" t="n"/>
      <c r="C29" s="13" t="n"/>
      <c r="D29" s="10" t="n"/>
      <c r="E29" s="10" t="n"/>
      <c r="F29" s="14" t="n"/>
      <c r="G29" s="14" t="n"/>
      <c r="H29" s="10" t="n"/>
      <c r="I29" s="18">
        <f>IF(OR(F29="",G29=""),"",G29-F29)</f>
        <v/>
      </c>
      <c r="J29" s="19" t="n"/>
      <c r="K29" s="15">
        <f>IFERROR(I29/J29,"")</f>
        <v/>
      </c>
      <c r="L29" s="14" t="n"/>
      <c r="M29" s="10" t="n"/>
      <c r="N29" s="10" t="n"/>
    </row>
    <row r="30">
      <c r="A30" s="11">
        <f>IF(B30="","",ROW()-3)</f>
        <v/>
      </c>
      <c r="B30" s="12" t="n"/>
      <c r="C30" s="13" t="n"/>
      <c r="D30" s="10" t="n"/>
      <c r="E30" s="10" t="n"/>
      <c r="F30" s="14" t="n"/>
      <c r="G30" s="14" t="n"/>
      <c r="H30" s="10" t="n"/>
      <c r="I30" s="18">
        <f>IF(OR(F30="",G30=""),"",G30-F30)</f>
        <v/>
      </c>
      <c r="J30" s="19" t="n"/>
      <c r="K30" s="15">
        <f>IFERROR(I30/J30,"")</f>
        <v/>
      </c>
      <c r="L30" s="14" t="n"/>
      <c r="M30" s="10" t="n"/>
      <c r="N30" s="10" t="n"/>
    </row>
    <row r="31">
      <c r="A31" s="11">
        <f>IF(B31="","",ROW()-3)</f>
        <v/>
      </c>
      <c r="B31" s="12" t="n"/>
      <c r="C31" s="13" t="n"/>
      <c r="D31" s="10" t="n"/>
      <c r="E31" s="10" t="n"/>
      <c r="F31" s="14" t="n"/>
      <c r="G31" s="14" t="n"/>
      <c r="H31" s="10" t="n"/>
      <c r="I31" s="18">
        <f>IF(OR(F31="",G31=""),"",G31-F31)</f>
        <v/>
      </c>
      <c r="J31" s="19" t="n"/>
      <c r="K31" s="15">
        <f>IFERROR(I31/J31,"")</f>
        <v/>
      </c>
      <c r="L31" s="14" t="n"/>
      <c r="M31" s="10" t="n"/>
      <c r="N31" s="10" t="n"/>
    </row>
    <row r="32">
      <c r="A32" s="11">
        <f>IF(B32="","",ROW()-3)</f>
        <v/>
      </c>
      <c r="B32" s="12" t="n"/>
      <c r="C32" s="13" t="n"/>
      <c r="D32" s="10" t="n"/>
      <c r="E32" s="10" t="n"/>
      <c r="F32" s="14" t="n"/>
      <c r="G32" s="14" t="n"/>
      <c r="H32" s="10" t="n"/>
      <c r="I32" s="18">
        <f>IF(OR(F32="",G32=""),"",G32-F32)</f>
        <v/>
      </c>
      <c r="J32" s="19" t="n"/>
      <c r="K32" s="15">
        <f>IFERROR(I32/J32,"")</f>
        <v/>
      </c>
      <c r="L32" s="14" t="n"/>
      <c r="M32" s="10" t="n"/>
      <c r="N32" s="10" t="n"/>
    </row>
    <row r="33">
      <c r="A33" s="11">
        <f>IF(B33="","",ROW()-3)</f>
        <v/>
      </c>
      <c r="B33" s="12" t="n"/>
      <c r="C33" s="13" t="n"/>
      <c r="D33" s="10" t="n"/>
      <c r="E33" s="10" t="n"/>
      <c r="F33" s="14" t="n"/>
      <c r="G33" s="14" t="n"/>
      <c r="H33" s="10" t="n"/>
      <c r="I33" s="18">
        <f>IF(OR(F33="",G33=""),"",G33-F33)</f>
        <v/>
      </c>
      <c r="J33" s="19" t="n"/>
      <c r="K33" s="15">
        <f>IFERROR(I33/J33,"")</f>
        <v/>
      </c>
      <c r="L33" s="14" t="n"/>
      <c r="M33" s="10" t="n"/>
      <c r="N33" s="10" t="n"/>
    </row>
    <row r="34">
      <c r="A34" s="11">
        <f>IF(B34="","",ROW()-3)</f>
        <v/>
      </c>
      <c r="B34" s="12" t="n"/>
      <c r="C34" s="13" t="n"/>
      <c r="D34" s="10" t="n"/>
      <c r="E34" s="10" t="n"/>
      <c r="F34" s="14" t="n"/>
      <c r="G34" s="14" t="n"/>
      <c r="H34" s="10" t="n"/>
      <c r="I34" s="18">
        <f>IF(OR(F34="",G34=""),"",G34-F34)</f>
        <v/>
      </c>
      <c r="J34" s="19" t="n"/>
      <c r="K34" s="15">
        <f>IFERROR(I34/J34,"")</f>
        <v/>
      </c>
      <c r="L34" s="14" t="n"/>
      <c r="M34" s="10" t="n"/>
      <c r="N34" s="10" t="n"/>
    </row>
    <row r="35">
      <c r="A35" s="11">
        <f>IF(B35="","",ROW()-3)</f>
        <v/>
      </c>
      <c r="B35" s="12" t="n"/>
      <c r="C35" s="13" t="n"/>
      <c r="D35" s="10" t="n"/>
      <c r="E35" s="10" t="n"/>
      <c r="F35" s="14" t="n"/>
      <c r="G35" s="14" t="n"/>
      <c r="H35" s="10" t="n"/>
      <c r="I35" s="18">
        <f>IF(OR(F35="",G35=""),"",G35-F35)</f>
        <v/>
      </c>
      <c r="J35" s="19" t="n"/>
      <c r="K35" s="15">
        <f>IFERROR(I35/J35,"")</f>
        <v/>
      </c>
      <c r="L35" s="14" t="n"/>
      <c r="M35" s="10" t="n"/>
      <c r="N35" s="10" t="n"/>
    </row>
    <row r="36">
      <c r="A36" s="11">
        <f>IF(B36="","",ROW()-3)</f>
        <v/>
      </c>
      <c r="B36" s="12" t="n"/>
      <c r="C36" s="13" t="n"/>
      <c r="D36" s="10" t="n"/>
      <c r="E36" s="10" t="n"/>
      <c r="F36" s="14" t="n"/>
      <c r="G36" s="14" t="n"/>
      <c r="H36" s="10" t="n"/>
      <c r="I36" s="18">
        <f>IF(OR(F36="",G36=""),"",G36-F36)</f>
        <v/>
      </c>
      <c r="J36" s="19" t="n"/>
      <c r="K36" s="15">
        <f>IFERROR(I36/J36,"")</f>
        <v/>
      </c>
      <c r="L36" s="14" t="n"/>
      <c r="M36" s="10" t="n"/>
      <c r="N36" s="10" t="n"/>
    </row>
    <row r="37">
      <c r="A37" s="11">
        <f>IF(B37="","",ROW()-3)</f>
        <v/>
      </c>
      <c r="B37" s="12" t="n"/>
      <c r="C37" s="13" t="n"/>
      <c r="D37" s="10" t="n"/>
      <c r="E37" s="10" t="n"/>
      <c r="F37" s="14" t="n"/>
      <c r="G37" s="14" t="n"/>
      <c r="H37" s="10" t="n"/>
      <c r="I37" s="18">
        <f>IF(OR(F37="",G37=""),"",G37-F37)</f>
        <v/>
      </c>
      <c r="J37" s="19" t="n"/>
      <c r="K37" s="15">
        <f>IFERROR(I37/J37,"")</f>
        <v/>
      </c>
      <c r="L37" s="14" t="n"/>
      <c r="M37" s="10" t="n"/>
      <c r="N37" s="10" t="n"/>
    </row>
    <row r="38">
      <c r="A38" s="11">
        <f>IF(B38="","",ROW()-3)</f>
        <v/>
      </c>
      <c r="B38" s="12" t="n"/>
      <c r="C38" s="13" t="n"/>
      <c r="D38" s="10" t="n"/>
      <c r="E38" s="10" t="n"/>
      <c r="F38" s="14" t="n"/>
      <c r="G38" s="14" t="n"/>
      <c r="H38" s="10" t="n"/>
      <c r="I38" s="18">
        <f>IF(OR(F38="",G38=""),"",G38-F38)</f>
        <v/>
      </c>
      <c r="J38" s="19" t="n"/>
      <c r="K38" s="15">
        <f>IFERROR(I38/J38,"")</f>
        <v/>
      </c>
      <c r="L38" s="14" t="n"/>
      <c r="M38" s="10" t="n"/>
      <c r="N38" s="10" t="n"/>
    </row>
    <row r="39">
      <c r="A39" s="11">
        <f>IF(B39="","",ROW()-3)</f>
        <v/>
      </c>
      <c r="B39" s="12" t="n"/>
      <c r="C39" s="13" t="n"/>
      <c r="D39" s="10" t="n"/>
      <c r="E39" s="10" t="n"/>
      <c r="F39" s="14" t="n"/>
      <c r="G39" s="14" t="n"/>
      <c r="H39" s="10" t="n"/>
      <c r="I39" s="18">
        <f>IF(OR(F39="",G39=""),"",G39-F39)</f>
        <v/>
      </c>
      <c r="J39" s="19" t="n"/>
      <c r="K39" s="15">
        <f>IFERROR(I39/J39,"")</f>
        <v/>
      </c>
      <c r="L39" s="14" t="n"/>
      <c r="M39" s="10" t="n"/>
      <c r="N39" s="10" t="n"/>
    </row>
    <row r="40">
      <c r="A40" s="11">
        <f>IF(B40="","",ROW()-3)</f>
        <v/>
      </c>
      <c r="B40" s="12" t="n"/>
      <c r="C40" s="13" t="n"/>
      <c r="D40" s="10" t="n"/>
      <c r="E40" s="10" t="n"/>
      <c r="F40" s="14" t="n"/>
      <c r="G40" s="14" t="n"/>
      <c r="H40" s="10" t="n"/>
      <c r="I40" s="18">
        <f>IF(OR(F40="",G40=""),"",G40-F40)</f>
        <v/>
      </c>
      <c r="J40" s="19" t="n"/>
      <c r="K40" s="15">
        <f>IFERROR(I40/J40,"")</f>
        <v/>
      </c>
      <c r="L40" s="14" t="n"/>
      <c r="M40" s="10" t="n"/>
      <c r="N40" s="10" t="n"/>
    </row>
    <row r="41">
      <c r="A41" s="11">
        <f>IF(B41="","",ROW()-3)</f>
        <v/>
      </c>
      <c r="B41" s="12" t="n"/>
      <c r="C41" s="13" t="n"/>
      <c r="D41" s="10" t="n"/>
      <c r="E41" s="10" t="n"/>
      <c r="F41" s="14" t="n"/>
      <c r="G41" s="14" t="n"/>
      <c r="H41" s="10" t="n"/>
      <c r="I41" s="18">
        <f>IF(OR(F41="",G41=""),"",G41-F41)</f>
        <v/>
      </c>
      <c r="J41" s="19" t="n"/>
      <c r="K41" s="15">
        <f>IFERROR(I41/J41,"")</f>
        <v/>
      </c>
      <c r="L41" s="14" t="n"/>
      <c r="M41" s="10" t="n"/>
      <c r="N41" s="10" t="n"/>
    </row>
    <row r="42">
      <c r="A42" s="11">
        <f>IF(B42="","",ROW()-3)</f>
        <v/>
      </c>
      <c r="B42" s="12" t="n"/>
      <c r="C42" s="13" t="n"/>
      <c r="D42" s="10" t="n"/>
      <c r="E42" s="10" t="n"/>
      <c r="F42" s="14" t="n"/>
      <c r="G42" s="14" t="n"/>
      <c r="H42" s="10" t="n"/>
      <c r="I42" s="18">
        <f>IF(OR(F42="",G42=""),"",G42-F42)</f>
        <v/>
      </c>
      <c r="J42" s="19" t="n"/>
      <c r="K42" s="15">
        <f>IFERROR(I42/J42,"")</f>
        <v/>
      </c>
      <c r="L42" s="14" t="n"/>
      <c r="M42" s="10" t="n"/>
      <c r="N42" s="10" t="n"/>
    </row>
    <row r="43">
      <c r="A43" s="11">
        <f>IF(B43="","",ROW()-3)</f>
        <v/>
      </c>
      <c r="B43" s="12" t="n"/>
      <c r="C43" s="13" t="n"/>
      <c r="D43" s="10" t="n"/>
      <c r="E43" s="10" t="n"/>
      <c r="F43" s="14" t="n"/>
      <c r="G43" s="14" t="n"/>
      <c r="H43" s="10" t="n"/>
      <c r="I43" s="18">
        <f>IF(OR(F43="",G43=""),"",G43-F43)</f>
        <v/>
      </c>
      <c r="J43" s="19" t="n"/>
      <c r="K43" s="15">
        <f>IFERROR(I43/J43,"")</f>
        <v/>
      </c>
      <c r="L43" s="14" t="n"/>
      <c r="M43" s="10" t="n"/>
      <c r="N43" s="10" t="n"/>
    </row>
    <row r="44">
      <c r="A44" s="11">
        <f>IF(B44="","",ROW()-3)</f>
        <v/>
      </c>
      <c r="B44" s="12" t="n"/>
      <c r="C44" s="13" t="n"/>
      <c r="D44" s="10" t="n"/>
      <c r="E44" s="10" t="n"/>
      <c r="F44" s="14" t="n"/>
      <c r="G44" s="14" t="n"/>
      <c r="H44" s="10" t="n"/>
      <c r="I44" s="18">
        <f>IF(OR(F44="",G44=""),"",G44-F44)</f>
        <v/>
      </c>
      <c r="J44" s="19" t="n"/>
      <c r="K44" s="15">
        <f>IFERROR(I44/J44,"")</f>
        <v/>
      </c>
      <c r="L44" s="14" t="n"/>
      <c r="M44" s="10" t="n"/>
      <c r="N44" s="10" t="n"/>
    </row>
    <row r="45">
      <c r="A45" s="11">
        <f>IF(B45="","",ROW()-3)</f>
        <v/>
      </c>
      <c r="B45" s="12" t="n"/>
      <c r="C45" s="13" t="n"/>
      <c r="D45" s="10" t="n"/>
      <c r="E45" s="10" t="n"/>
      <c r="F45" s="14" t="n"/>
      <c r="G45" s="14" t="n"/>
      <c r="H45" s="10" t="n"/>
      <c r="I45" s="18">
        <f>IF(OR(F45="",G45=""),"",G45-F45)</f>
        <v/>
      </c>
      <c r="J45" s="19" t="n"/>
      <c r="K45" s="15">
        <f>IFERROR(I45/J45,"")</f>
        <v/>
      </c>
      <c r="L45" s="14" t="n"/>
      <c r="M45" s="10" t="n"/>
      <c r="N45" s="10" t="n"/>
    </row>
    <row r="46">
      <c r="A46" s="11">
        <f>IF(B46="","",ROW()-3)</f>
        <v/>
      </c>
      <c r="B46" s="12" t="n"/>
      <c r="C46" s="13" t="n"/>
      <c r="D46" s="10" t="n"/>
      <c r="E46" s="10" t="n"/>
      <c r="F46" s="14" t="n"/>
      <c r="G46" s="14" t="n"/>
      <c r="H46" s="10" t="n"/>
      <c r="I46" s="18">
        <f>IF(OR(F46="",G46=""),"",G46-F46)</f>
        <v/>
      </c>
      <c r="J46" s="19" t="n"/>
      <c r="K46" s="15">
        <f>IFERROR(I46/J46,"")</f>
        <v/>
      </c>
      <c r="L46" s="14" t="n"/>
      <c r="M46" s="10" t="n"/>
      <c r="N46" s="10" t="n"/>
    </row>
    <row r="47">
      <c r="A47" s="11">
        <f>IF(B47="","",ROW()-3)</f>
        <v/>
      </c>
      <c r="B47" s="12" t="n"/>
      <c r="C47" s="13" t="n"/>
      <c r="D47" s="10" t="n"/>
      <c r="E47" s="10" t="n"/>
      <c r="F47" s="14" t="n"/>
      <c r="G47" s="14" t="n"/>
      <c r="H47" s="10" t="n"/>
      <c r="I47" s="18">
        <f>IF(OR(F47="",G47=""),"",G47-F47)</f>
        <v/>
      </c>
      <c r="J47" s="19" t="n"/>
      <c r="K47" s="15">
        <f>IFERROR(I47/J47,"")</f>
        <v/>
      </c>
      <c r="L47" s="14" t="n"/>
      <c r="M47" s="10" t="n"/>
      <c r="N47" s="10" t="n"/>
    </row>
    <row r="48">
      <c r="A48" s="11">
        <f>IF(B48="","",ROW()-3)</f>
        <v/>
      </c>
      <c r="B48" s="12" t="n"/>
      <c r="C48" s="13" t="n"/>
      <c r="D48" s="10" t="n"/>
      <c r="E48" s="10" t="n"/>
      <c r="F48" s="14" t="n"/>
      <c r="G48" s="14" t="n"/>
      <c r="H48" s="10" t="n"/>
      <c r="I48" s="18">
        <f>IF(OR(F48="",G48=""),"",G48-F48)</f>
        <v/>
      </c>
      <c r="J48" s="19" t="n"/>
      <c r="K48" s="15">
        <f>IFERROR(I48/J48,"")</f>
        <v/>
      </c>
      <c r="L48" s="14" t="n"/>
      <c r="M48" s="10" t="n"/>
      <c r="N48" s="10" t="n"/>
    </row>
    <row r="49">
      <c r="A49" s="11">
        <f>IF(B49="","",ROW()-3)</f>
        <v/>
      </c>
      <c r="B49" s="12" t="n"/>
      <c r="C49" s="13" t="n"/>
      <c r="D49" s="10" t="n"/>
      <c r="E49" s="10" t="n"/>
      <c r="F49" s="14" t="n"/>
      <c r="G49" s="14" t="n"/>
      <c r="H49" s="10" t="n"/>
      <c r="I49" s="18">
        <f>IF(OR(F49="",G49=""),"",G49-F49)</f>
        <v/>
      </c>
      <c r="J49" s="19" t="n"/>
      <c r="K49" s="15">
        <f>IFERROR(I49/J49,"")</f>
        <v/>
      </c>
      <c r="L49" s="14" t="n"/>
      <c r="M49" s="10" t="n"/>
      <c r="N49" s="10" t="n"/>
    </row>
    <row r="50">
      <c r="A50" s="11">
        <f>IF(B50="","",ROW()-3)</f>
        <v/>
      </c>
      <c r="B50" s="12" t="n"/>
      <c r="C50" s="13" t="n"/>
      <c r="D50" s="10" t="n"/>
      <c r="E50" s="10" t="n"/>
      <c r="F50" s="14" t="n"/>
      <c r="G50" s="14" t="n"/>
      <c r="H50" s="10" t="n"/>
      <c r="I50" s="18">
        <f>IF(OR(F50="",G50=""),"",G50-F50)</f>
        <v/>
      </c>
      <c r="J50" s="19" t="n"/>
      <c r="K50" s="15">
        <f>IFERROR(I50/J50,"")</f>
        <v/>
      </c>
      <c r="L50" s="14" t="n"/>
      <c r="M50" s="10" t="n"/>
      <c r="N50" s="10" t="n"/>
    </row>
    <row r="51">
      <c r="A51" s="11">
        <f>IF(B51="","",ROW()-3)</f>
        <v/>
      </c>
      <c r="B51" s="12" t="n"/>
      <c r="C51" s="13" t="n"/>
      <c r="D51" s="10" t="n"/>
      <c r="E51" s="10" t="n"/>
      <c r="F51" s="14" t="n"/>
      <c r="G51" s="14" t="n"/>
      <c r="H51" s="10" t="n"/>
      <c r="I51" s="18">
        <f>IF(OR(F51="",G51=""),"",G51-F51)</f>
        <v/>
      </c>
      <c r="J51" s="19" t="n"/>
      <c r="K51" s="15">
        <f>IFERROR(I51/J51,"")</f>
        <v/>
      </c>
      <c r="L51" s="14" t="n"/>
      <c r="M51" s="10" t="n"/>
      <c r="N51" s="10" t="n"/>
    </row>
    <row r="52">
      <c r="A52" s="11">
        <f>IF(B52="","",ROW()-3)</f>
        <v/>
      </c>
      <c r="B52" s="12" t="n"/>
      <c r="C52" s="13" t="n"/>
      <c r="D52" s="10" t="n"/>
      <c r="E52" s="10" t="n"/>
      <c r="F52" s="14" t="n"/>
      <c r="G52" s="14" t="n"/>
      <c r="H52" s="10" t="n"/>
      <c r="I52" s="18">
        <f>IF(OR(F52="",G52=""),"",G52-F52)</f>
        <v/>
      </c>
      <c r="J52" s="19" t="n"/>
      <c r="K52" s="15">
        <f>IFERROR(I52/J52,"")</f>
        <v/>
      </c>
      <c r="L52" s="14" t="n"/>
      <c r="M52" s="10" t="n"/>
      <c r="N52" s="10" t="n"/>
    </row>
    <row r="53">
      <c r="A53" s="11">
        <f>IF(B53="","",ROW()-3)</f>
        <v/>
      </c>
      <c r="B53" s="12" t="n"/>
      <c r="C53" s="13" t="n"/>
      <c r="D53" s="10" t="n"/>
      <c r="E53" s="10" t="n"/>
      <c r="F53" s="14" t="n"/>
      <c r="G53" s="14" t="n"/>
      <c r="H53" s="10" t="n"/>
      <c r="I53" s="18">
        <f>IF(OR(F53="",G53=""),"",G53-F53)</f>
        <v/>
      </c>
      <c r="J53" s="19" t="n"/>
      <c r="K53" s="15">
        <f>IFERROR(I53/J53,"")</f>
        <v/>
      </c>
      <c r="L53" s="14" t="n"/>
      <c r="M53" s="10" t="n"/>
      <c r="N53" s="10" t="n"/>
    </row>
    <row r="54">
      <c r="A54" s="11">
        <f>IF(B54="","",ROW()-3)</f>
        <v/>
      </c>
      <c r="B54" s="12" t="n"/>
      <c r="C54" s="13" t="n"/>
      <c r="D54" s="10" t="n"/>
      <c r="E54" s="10" t="n"/>
      <c r="F54" s="14" t="n"/>
      <c r="G54" s="14" t="n"/>
      <c r="H54" s="10" t="n"/>
      <c r="I54" s="18">
        <f>IF(OR(F54="",G54=""),"",G54-F54)</f>
        <v/>
      </c>
      <c r="J54" s="19" t="n"/>
      <c r="K54" s="15">
        <f>IFERROR(I54/J54,"")</f>
        <v/>
      </c>
      <c r="L54" s="14" t="n"/>
      <c r="M54" s="10" t="n"/>
      <c r="N54" s="10" t="n"/>
    </row>
    <row r="55">
      <c r="A55" s="11">
        <f>IF(B55="","",ROW()-3)</f>
        <v/>
      </c>
      <c r="B55" s="12" t="n"/>
      <c r="C55" s="13" t="n"/>
      <c r="D55" s="10" t="n"/>
      <c r="E55" s="10" t="n"/>
      <c r="F55" s="14" t="n"/>
      <c r="G55" s="14" t="n"/>
      <c r="H55" s="10" t="n"/>
      <c r="I55" s="18">
        <f>IF(OR(F55="",G55=""),"",G55-F55)</f>
        <v/>
      </c>
      <c r="J55" s="19" t="n"/>
      <c r="K55" s="15">
        <f>IFERROR(I55/J55,"")</f>
        <v/>
      </c>
      <c r="L55" s="14" t="n"/>
      <c r="M55" s="10" t="n"/>
      <c r="N55" s="10" t="n"/>
    </row>
    <row r="56">
      <c r="A56" s="11">
        <f>IF(B56="","",ROW()-3)</f>
        <v/>
      </c>
      <c r="B56" s="12" t="n"/>
      <c r="C56" s="13" t="n"/>
      <c r="D56" s="10" t="n"/>
      <c r="E56" s="10" t="n"/>
      <c r="F56" s="14" t="n"/>
      <c r="G56" s="14" t="n"/>
      <c r="H56" s="10" t="n"/>
      <c r="I56" s="18">
        <f>IF(OR(F56="",G56=""),"",G56-F56)</f>
        <v/>
      </c>
      <c r="J56" s="19" t="n"/>
      <c r="K56" s="15">
        <f>IFERROR(I56/J56,"")</f>
        <v/>
      </c>
      <c r="L56" s="14" t="n"/>
      <c r="M56" s="10" t="n"/>
      <c r="N56" s="10" t="n"/>
    </row>
    <row r="57">
      <c r="A57" s="11">
        <f>IF(B57="","",ROW()-3)</f>
        <v/>
      </c>
      <c r="B57" s="12" t="n"/>
      <c r="C57" s="13" t="n"/>
      <c r="D57" s="10" t="n"/>
      <c r="E57" s="10" t="n"/>
      <c r="F57" s="14" t="n"/>
      <c r="G57" s="14" t="n"/>
      <c r="H57" s="10" t="n"/>
      <c r="I57" s="18">
        <f>IF(OR(F57="",G57=""),"",G57-F57)</f>
        <v/>
      </c>
      <c r="J57" s="19" t="n"/>
      <c r="K57" s="15">
        <f>IFERROR(I57/J57,"")</f>
        <v/>
      </c>
      <c r="L57" s="14" t="n"/>
      <c r="M57" s="10" t="n"/>
      <c r="N57" s="10" t="n"/>
    </row>
    <row r="58">
      <c r="A58" s="11">
        <f>IF(B58="","",ROW()-3)</f>
        <v/>
      </c>
      <c r="B58" s="12" t="n"/>
      <c r="C58" s="13" t="n"/>
      <c r="D58" s="10" t="n"/>
      <c r="E58" s="10" t="n"/>
      <c r="F58" s="14" t="n"/>
      <c r="G58" s="14" t="n"/>
      <c r="H58" s="10" t="n"/>
      <c r="I58" s="18">
        <f>IF(OR(F58="",G58=""),"",G58-F58)</f>
        <v/>
      </c>
      <c r="J58" s="19" t="n"/>
      <c r="K58" s="15">
        <f>IFERROR(I58/J58,"")</f>
        <v/>
      </c>
      <c r="L58" s="14" t="n"/>
      <c r="M58" s="10" t="n"/>
      <c r="N58" s="10" t="n"/>
    </row>
    <row r="59">
      <c r="A59" s="11">
        <f>IF(B59="","",ROW()-3)</f>
        <v/>
      </c>
      <c r="B59" s="12" t="n"/>
      <c r="C59" s="13" t="n"/>
      <c r="D59" s="10" t="n"/>
      <c r="E59" s="10" t="n"/>
      <c r="F59" s="14" t="n"/>
      <c r="G59" s="14" t="n"/>
      <c r="H59" s="10" t="n"/>
      <c r="I59" s="18">
        <f>IF(OR(F59="",G59=""),"",G59-F59)</f>
        <v/>
      </c>
      <c r="J59" s="19" t="n"/>
      <c r="K59" s="15">
        <f>IFERROR(I59/J59,"")</f>
        <v/>
      </c>
      <c r="L59" s="14" t="n"/>
      <c r="M59" s="10" t="n"/>
      <c r="N59" s="10" t="n"/>
    </row>
    <row r="60">
      <c r="A60" s="11">
        <f>IF(B60="","",ROW()-3)</f>
        <v/>
      </c>
      <c r="B60" s="12" t="n"/>
      <c r="C60" s="13" t="n"/>
      <c r="D60" s="10" t="n"/>
      <c r="E60" s="10" t="n"/>
      <c r="F60" s="14" t="n"/>
      <c r="G60" s="14" t="n"/>
      <c r="H60" s="10" t="n"/>
      <c r="I60" s="18">
        <f>IF(OR(F60="",G60=""),"",G60-F60)</f>
        <v/>
      </c>
      <c r="J60" s="19" t="n"/>
      <c r="K60" s="15">
        <f>IFERROR(I60/J60,"")</f>
        <v/>
      </c>
      <c r="L60" s="14" t="n"/>
      <c r="M60" s="10" t="n"/>
      <c r="N60" s="10" t="n"/>
    </row>
    <row r="61">
      <c r="A61" s="11">
        <f>IF(B61="","",ROW()-3)</f>
        <v/>
      </c>
      <c r="B61" s="12" t="n"/>
      <c r="C61" s="13" t="n"/>
      <c r="D61" s="10" t="n"/>
      <c r="E61" s="10" t="n"/>
      <c r="F61" s="14" t="n"/>
      <c r="G61" s="14" t="n"/>
      <c r="H61" s="10" t="n"/>
      <c r="I61" s="18">
        <f>IF(OR(F61="",G61=""),"",G61-F61)</f>
        <v/>
      </c>
      <c r="J61" s="19" t="n"/>
      <c r="K61" s="15">
        <f>IFERROR(I61/J61,"")</f>
        <v/>
      </c>
      <c r="L61" s="14" t="n"/>
      <c r="M61" s="10" t="n"/>
      <c r="N61" s="10" t="n"/>
    </row>
    <row r="62">
      <c r="A62" s="11">
        <f>IF(B62="","",ROW()-3)</f>
        <v/>
      </c>
      <c r="B62" s="12" t="n"/>
      <c r="C62" s="13" t="n"/>
      <c r="D62" s="10" t="n"/>
      <c r="E62" s="10" t="n"/>
      <c r="F62" s="14" t="n"/>
      <c r="G62" s="14" t="n"/>
      <c r="H62" s="10" t="n"/>
      <c r="I62" s="18">
        <f>IF(OR(F62="",G62=""),"",G62-F62)</f>
        <v/>
      </c>
      <c r="J62" s="19" t="n"/>
      <c r="K62" s="15">
        <f>IFERROR(I62/J62,"")</f>
        <v/>
      </c>
      <c r="L62" s="14" t="n"/>
      <c r="M62" s="10" t="n"/>
      <c r="N62" s="10" t="n"/>
    </row>
    <row r="63">
      <c r="A63" s="11">
        <f>IF(B63="","",ROW()-3)</f>
        <v/>
      </c>
      <c r="B63" s="12" t="n"/>
      <c r="C63" s="13" t="n"/>
      <c r="D63" s="10" t="n"/>
      <c r="E63" s="10" t="n"/>
      <c r="F63" s="14" t="n"/>
      <c r="G63" s="14" t="n"/>
      <c r="H63" s="10" t="n"/>
      <c r="I63" s="18">
        <f>IF(OR(F63="",G63=""),"",G63-F63)</f>
        <v/>
      </c>
      <c r="J63" s="19" t="n"/>
      <c r="K63" s="15">
        <f>IFERROR(I63/J63,"")</f>
        <v/>
      </c>
      <c r="L63" s="14" t="n"/>
      <c r="M63" s="10" t="n"/>
      <c r="N63" s="10" t="n"/>
    </row>
    <row r="64">
      <c r="A64" s="11">
        <f>IF(B64="","",ROW()-3)</f>
        <v/>
      </c>
      <c r="B64" s="12" t="n"/>
      <c r="C64" s="13" t="n"/>
      <c r="D64" s="10" t="n"/>
      <c r="E64" s="10" t="n"/>
      <c r="F64" s="14" t="n"/>
      <c r="G64" s="14" t="n"/>
      <c r="H64" s="10" t="n"/>
      <c r="I64" s="18">
        <f>IF(OR(F64="",G64=""),"",G64-F64)</f>
        <v/>
      </c>
      <c r="J64" s="19" t="n"/>
      <c r="K64" s="15">
        <f>IFERROR(I64/J64,"")</f>
        <v/>
      </c>
      <c r="L64" s="14" t="n"/>
      <c r="M64" s="10" t="n"/>
      <c r="N64" s="10" t="n"/>
    </row>
    <row r="65">
      <c r="A65" s="11">
        <f>IF(B65="","",ROW()-3)</f>
        <v/>
      </c>
      <c r="B65" s="12" t="n"/>
      <c r="C65" s="13" t="n"/>
      <c r="D65" s="10" t="n"/>
      <c r="E65" s="10" t="n"/>
      <c r="F65" s="14" t="n"/>
      <c r="G65" s="14" t="n"/>
      <c r="H65" s="10" t="n"/>
      <c r="I65" s="18">
        <f>IF(OR(F65="",G65=""),"",G65-F65)</f>
        <v/>
      </c>
      <c r="J65" s="19" t="n"/>
      <c r="K65" s="15">
        <f>IFERROR(I65/J65,"")</f>
        <v/>
      </c>
      <c r="L65" s="14" t="n"/>
      <c r="M65" s="10" t="n"/>
      <c r="N65" s="10" t="n"/>
    </row>
    <row r="66">
      <c r="A66" s="11">
        <f>IF(B66="","",ROW()-3)</f>
        <v/>
      </c>
      <c r="B66" s="12" t="n"/>
      <c r="C66" s="13" t="n"/>
      <c r="D66" s="10" t="n"/>
      <c r="E66" s="10" t="n"/>
      <c r="F66" s="14" t="n"/>
      <c r="G66" s="14" t="n"/>
      <c r="H66" s="10" t="n"/>
      <c r="I66" s="18">
        <f>IF(OR(F66="",G66=""),"",G66-F66)</f>
        <v/>
      </c>
      <c r="J66" s="19" t="n"/>
      <c r="K66" s="15">
        <f>IFERROR(I66/J66,"")</f>
        <v/>
      </c>
      <c r="L66" s="14" t="n"/>
      <c r="M66" s="10" t="n"/>
      <c r="N66" s="10" t="n"/>
    </row>
    <row r="67">
      <c r="A67" s="11">
        <f>IF(B67="","",ROW()-3)</f>
        <v/>
      </c>
      <c r="B67" s="12" t="n"/>
      <c r="C67" s="13" t="n"/>
      <c r="D67" s="10" t="n"/>
      <c r="E67" s="10" t="n"/>
      <c r="F67" s="14" t="n"/>
      <c r="G67" s="14" t="n"/>
      <c r="H67" s="10" t="n"/>
      <c r="I67" s="18">
        <f>IF(OR(F67="",G67=""),"",G67-F67)</f>
        <v/>
      </c>
      <c r="J67" s="19" t="n"/>
      <c r="K67" s="15">
        <f>IFERROR(I67/J67,"")</f>
        <v/>
      </c>
      <c r="L67" s="14" t="n"/>
      <c r="M67" s="10" t="n"/>
      <c r="N67" s="10" t="n"/>
    </row>
    <row r="68">
      <c r="A68" s="11">
        <f>IF(B68="","",ROW()-3)</f>
        <v/>
      </c>
      <c r="B68" s="12" t="n"/>
      <c r="C68" s="13" t="n"/>
      <c r="D68" s="10" t="n"/>
      <c r="E68" s="10" t="n"/>
      <c r="F68" s="14" t="n"/>
      <c r="G68" s="14" t="n"/>
      <c r="H68" s="10" t="n"/>
      <c r="I68" s="18">
        <f>IF(OR(F68="",G68=""),"",G68-F68)</f>
        <v/>
      </c>
      <c r="J68" s="19" t="n"/>
      <c r="K68" s="15">
        <f>IFERROR(I68/J68,"")</f>
        <v/>
      </c>
      <c r="L68" s="14" t="n"/>
      <c r="M68" s="10" t="n"/>
      <c r="N68" s="10" t="n"/>
    </row>
    <row r="69">
      <c r="A69" s="11">
        <f>IF(B69="","",ROW()-3)</f>
        <v/>
      </c>
      <c r="B69" s="12" t="n"/>
      <c r="C69" s="13" t="n"/>
      <c r="D69" s="10" t="n"/>
      <c r="E69" s="10" t="n"/>
      <c r="F69" s="14" t="n"/>
      <c r="G69" s="14" t="n"/>
      <c r="H69" s="10" t="n"/>
      <c r="I69" s="18">
        <f>IF(OR(F69="",G69=""),"",G69-F69)</f>
        <v/>
      </c>
      <c r="J69" s="19" t="n"/>
      <c r="K69" s="15">
        <f>IFERROR(I69/J69,"")</f>
        <v/>
      </c>
      <c r="L69" s="14" t="n"/>
      <c r="M69" s="10" t="n"/>
      <c r="N69" s="10" t="n"/>
    </row>
    <row r="70">
      <c r="A70" s="11">
        <f>IF(B70="","",ROW()-3)</f>
        <v/>
      </c>
      <c r="B70" s="12" t="n"/>
      <c r="C70" s="13" t="n"/>
      <c r="D70" s="10" t="n"/>
      <c r="E70" s="10" t="n"/>
      <c r="F70" s="14" t="n"/>
      <c r="G70" s="14" t="n"/>
      <c r="H70" s="10" t="n"/>
      <c r="I70" s="18">
        <f>IF(OR(F70="",G70=""),"",G70-F70)</f>
        <v/>
      </c>
      <c r="J70" s="19" t="n"/>
      <c r="K70" s="15">
        <f>IFERROR(I70/J70,"")</f>
        <v/>
      </c>
      <c r="L70" s="14" t="n"/>
      <c r="M70" s="10" t="n"/>
      <c r="N70" s="10" t="n"/>
    </row>
    <row r="71">
      <c r="A71" s="11">
        <f>IF(B71="","",ROW()-3)</f>
        <v/>
      </c>
      <c r="B71" s="12" t="n"/>
      <c r="C71" s="13" t="n"/>
      <c r="D71" s="10" t="n"/>
      <c r="E71" s="10" t="n"/>
      <c r="F71" s="14" t="n"/>
      <c r="G71" s="14" t="n"/>
      <c r="H71" s="10" t="n"/>
      <c r="I71" s="18">
        <f>IF(OR(F71="",G71=""),"",G71-F71)</f>
        <v/>
      </c>
      <c r="J71" s="19" t="n"/>
      <c r="K71" s="15">
        <f>IFERROR(I71/J71,"")</f>
        <v/>
      </c>
      <c r="L71" s="14" t="n"/>
      <c r="M71" s="10" t="n"/>
      <c r="N71" s="10" t="n"/>
    </row>
    <row r="72">
      <c r="A72" s="11">
        <f>IF(B72="","",ROW()-3)</f>
        <v/>
      </c>
      <c r="B72" s="12" t="n"/>
      <c r="C72" s="13" t="n"/>
      <c r="D72" s="10" t="n"/>
      <c r="E72" s="10" t="n"/>
      <c r="F72" s="14" t="n"/>
      <c r="G72" s="14" t="n"/>
      <c r="H72" s="10" t="n"/>
      <c r="I72" s="18">
        <f>IF(OR(F72="",G72=""),"",G72-F72)</f>
        <v/>
      </c>
      <c r="J72" s="19" t="n"/>
      <c r="K72" s="15">
        <f>IFERROR(I72/J72,"")</f>
        <v/>
      </c>
      <c r="L72" s="14" t="n"/>
      <c r="M72" s="10" t="n"/>
      <c r="N72" s="10" t="n"/>
    </row>
    <row r="73">
      <c r="A73" s="11">
        <f>IF(B73="","",ROW()-3)</f>
        <v/>
      </c>
      <c r="B73" s="12" t="n"/>
      <c r="C73" s="13" t="n"/>
      <c r="D73" s="10" t="n"/>
      <c r="E73" s="10" t="n"/>
      <c r="F73" s="14" t="n"/>
      <c r="G73" s="14" t="n"/>
      <c r="H73" s="10" t="n"/>
      <c r="I73" s="18">
        <f>IF(OR(F73="",G73=""),"",G73-F73)</f>
        <v/>
      </c>
      <c r="J73" s="19" t="n"/>
      <c r="K73" s="15">
        <f>IFERROR(I73/J73,"")</f>
        <v/>
      </c>
      <c r="L73" s="14" t="n"/>
      <c r="M73" s="10" t="n"/>
      <c r="N73" s="10" t="n"/>
    </row>
    <row r="74">
      <c r="A74" s="11">
        <f>IF(B74="","",ROW()-3)</f>
        <v/>
      </c>
      <c r="B74" s="12" t="n"/>
      <c r="C74" s="13" t="n"/>
      <c r="D74" s="10" t="n"/>
      <c r="E74" s="10" t="n"/>
      <c r="F74" s="14" t="n"/>
      <c r="G74" s="14" t="n"/>
      <c r="H74" s="10" t="n"/>
      <c r="I74" s="18">
        <f>IF(OR(F74="",G74=""),"",G74-F74)</f>
        <v/>
      </c>
      <c r="J74" s="19" t="n"/>
      <c r="K74" s="15">
        <f>IFERROR(I74/J74,"")</f>
        <v/>
      </c>
      <c r="L74" s="14" t="n"/>
      <c r="M74" s="10" t="n"/>
      <c r="N74" s="10" t="n"/>
    </row>
    <row r="75">
      <c r="A75" s="11">
        <f>IF(B75="","",ROW()-3)</f>
        <v/>
      </c>
      <c r="B75" s="12" t="n"/>
      <c r="C75" s="13" t="n"/>
      <c r="D75" s="10" t="n"/>
      <c r="E75" s="10" t="n"/>
      <c r="F75" s="14" t="n"/>
      <c r="G75" s="14" t="n"/>
      <c r="H75" s="10" t="n"/>
      <c r="I75" s="18">
        <f>IF(OR(F75="",G75=""),"",G75-F75)</f>
        <v/>
      </c>
      <c r="J75" s="19" t="n"/>
      <c r="K75" s="15">
        <f>IFERROR(I75/J75,"")</f>
        <v/>
      </c>
      <c r="L75" s="14" t="n"/>
      <c r="M75" s="10" t="n"/>
      <c r="N75" s="10" t="n"/>
    </row>
    <row r="76">
      <c r="A76" s="11">
        <f>IF(B76="","",ROW()-3)</f>
        <v/>
      </c>
      <c r="B76" s="12" t="n"/>
      <c r="C76" s="13" t="n"/>
      <c r="D76" s="10" t="n"/>
      <c r="E76" s="10" t="n"/>
      <c r="F76" s="14" t="n"/>
      <c r="G76" s="14" t="n"/>
      <c r="H76" s="10" t="n"/>
      <c r="I76" s="18">
        <f>IF(OR(F76="",G76=""),"",G76-F76)</f>
        <v/>
      </c>
      <c r="J76" s="19" t="n"/>
      <c r="K76" s="15">
        <f>IFERROR(I76/J76,"")</f>
        <v/>
      </c>
      <c r="L76" s="14" t="n"/>
      <c r="M76" s="10" t="n"/>
      <c r="N76" s="10" t="n"/>
    </row>
    <row r="77">
      <c r="A77" s="11">
        <f>IF(B77="","",ROW()-3)</f>
        <v/>
      </c>
      <c r="B77" s="12" t="n"/>
      <c r="C77" s="13" t="n"/>
      <c r="D77" s="10" t="n"/>
      <c r="E77" s="10" t="n"/>
      <c r="F77" s="14" t="n"/>
      <c r="G77" s="14" t="n"/>
      <c r="H77" s="10" t="n"/>
      <c r="I77" s="18">
        <f>IF(OR(F77="",G77=""),"",G77-F77)</f>
        <v/>
      </c>
      <c r="J77" s="19" t="n"/>
      <c r="K77" s="15">
        <f>IFERROR(I77/J77,"")</f>
        <v/>
      </c>
      <c r="L77" s="14" t="n"/>
      <c r="M77" s="10" t="n"/>
      <c r="N77" s="10" t="n"/>
    </row>
    <row r="78">
      <c r="A78" s="11">
        <f>IF(B78="","",ROW()-3)</f>
        <v/>
      </c>
      <c r="B78" s="12" t="n"/>
      <c r="C78" s="13" t="n"/>
      <c r="D78" s="10" t="n"/>
      <c r="E78" s="10" t="n"/>
      <c r="F78" s="14" t="n"/>
      <c r="G78" s="14" t="n"/>
      <c r="H78" s="10" t="n"/>
      <c r="I78" s="18">
        <f>IF(OR(F78="",G78=""),"",G78-F78)</f>
        <v/>
      </c>
      <c r="J78" s="19" t="n"/>
      <c r="K78" s="15">
        <f>IFERROR(I78/J78,"")</f>
        <v/>
      </c>
      <c r="L78" s="14" t="n"/>
      <c r="M78" s="10" t="n"/>
      <c r="N78" s="10" t="n"/>
    </row>
    <row r="79">
      <c r="A79" s="11">
        <f>IF(B79="","",ROW()-3)</f>
        <v/>
      </c>
      <c r="B79" s="12" t="n"/>
      <c r="C79" s="13" t="n"/>
      <c r="D79" s="10" t="n"/>
      <c r="E79" s="10" t="n"/>
      <c r="F79" s="14" t="n"/>
      <c r="G79" s="14" t="n"/>
      <c r="H79" s="10" t="n"/>
      <c r="I79" s="18">
        <f>IF(OR(F79="",G79=""),"",G79-F79)</f>
        <v/>
      </c>
      <c r="J79" s="19" t="n"/>
      <c r="K79" s="15">
        <f>IFERROR(I79/J79,"")</f>
        <v/>
      </c>
      <c r="L79" s="14" t="n"/>
      <c r="M79" s="10" t="n"/>
      <c r="N79" s="10" t="n"/>
    </row>
    <row r="80">
      <c r="A80" s="11">
        <f>IF(B80="","",ROW()-3)</f>
        <v/>
      </c>
      <c r="B80" s="12" t="n"/>
      <c r="C80" s="13" t="n"/>
      <c r="D80" s="10" t="n"/>
      <c r="E80" s="10" t="n"/>
      <c r="F80" s="14" t="n"/>
      <c r="G80" s="14" t="n"/>
      <c r="H80" s="10" t="n"/>
      <c r="I80" s="18">
        <f>IF(OR(F80="",G80=""),"",G80-F80)</f>
        <v/>
      </c>
      <c r="J80" s="19" t="n"/>
      <c r="K80" s="15">
        <f>IFERROR(I80/J80,"")</f>
        <v/>
      </c>
      <c r="L80" s="14" t="n"/>
      <c r="M80" s="10" t="n"/>
      <c r="N80" s="10" t="n"/>
    </row>
    <row r="81">
      <c r="A81" s="11">
        <f>IF(B81="","",ROW()-3)</f>
        <v/>
      </c>
      <c r="B81" s="12" t="n"/>
      <c r="C81" s="13" t="n"/>
      <c r="D81" s="10" t="n"/>
      <c r="E81" s="10" t="n"/>
      <c r="F81" s="14" t="n"/>
      <c r="G81" s="14" t="n"/>
      <c r="H81" s="10" t="n"/>
      <c r="I81" s="18">
        <f>IF(OR(F81="",G81=""),"",G81-F81)</f>
        <v/>
      </c>
      <c r="J81" s="19" t="n"/>
      <c r="K81" s="15">
        <f>IFERROR(I81/J81,"")</f>
        <v/>
      </c>
      <c r="L81" s="14" t="n"/>
      <c r="M81" s="10" t="n"/>
      <c r="N81" s="10" t="n"/>
    </row>
    <row r="82">
      <c r="A82" s="11">
        <f>IF(B82="","",ROW()-3)</f>
        <v/>
      </c>
      <c r="B82" s="12" t="n"/>
      <c r="C82" s="13" t="n"/>
      <c r="D82" s="10" t="n"/>
      <c r="E82" s="10" t="n"/>
      <c r="F82" s="14" t="n"/>
      <c r="G82" s="14" t="n"/>
      <c r="H82" s="10" t="n"/>
      <c r="I82" s="18">
        <f>IF(OR(F82="",G82=""),"",G82-F82)</f>
        <v/>
      </c>
      <c r="J82" s="19" t="n"/>
      <c r="K82" s="15">
        <f>IFERROR(I82/J82,"")</f>
        <v/>
      </c>
      <c r="L82" s="14" t="n"/>
      <c r="M82" s="10" t="n"/>
      <c r="N82" s="10" t="n"/>
    </row>
    <row r="83">
      <c r="A83" s="11">
        <f>IF(B83="","",ROW()-3)</f>
        <v/>
      </c>
      <c r="B83" s="12" t="n"/>
      <c r="C83" s="13" t="n"/>
      <c r="D83" s="10" t="n"/>
      <c r="E83" s="10" t="n"/>
      <c r="F83" s="14" t="n"/>
      <c r="G83" s="14" t="n"/>
      <c r="H83" s="10" t="n"/>
      <c r="I83" s="18">
        <f>IF(OR(F83="",G83=""),"",G83-F83)</f>
        <v/>
      </c>
      <c r="J83" s="19" t="n"/>
      <c r="K83" s="15">
        <f>IFERROR(I83/J83,"")</f>
        <v/>
      </c>
      <c r="L83" s="14" t="n"/>
      <c r="M83" s="10" t="n"/>
      <c r="N83" s="10" t="n"/>
    </row>
    <row r="84">
      <c r="A84" s="11">
        <f>IF(B84="","",ROW()-3)</f>
        <v/>
      </c>
      <c r="B84" s="12" t="n"/>
      <c r="C84" s="13" t="n"/>
      <c r="D84" s="10" t="n"/>
      <c r="E84" s="10" t="n"/>
      <c r="F84" s="14" t="n"/>
      <c r="G84" s="14" t="n"/>
      <c r="H84" s="10" t="n"/>
      <c r="I84" s="18">
        <f>IF(OR(F84="",G84=""),"",G84-F84)</f>
        <v/>
      </c>
      <c r="J84" s="19" t="n"/>
      <c r="K84" s="15">
        <f>IFERROR(I84/J84,"")</f>
        <v/>
      </c>
      <c r="L84" s="14" t="n"/>
      <c r="M84" s="10" t="n"/>
      <c r="N84" s="10" t="n"/>
    </row>
    <row r="85">
      <c r="A85" s="11">
        <f>IF(B85="","",ROW()-3)</f>
        <v/>
      </c>
      <c r="B85" s="12" t="n"/>
      <c r="C85" s="13" t="n"/>
      <c r="D85" s="10" t="n"/>
      <c r="E85" s="10" t="n"/>
      <c r="F85" s="14" t="n"/>
      <c r="G85" s="14" t="n"/>
      <c r="H85" s="10" t="n"/>
      <c r="I85" s="18">
        <f>IF(OR(F85="",G85=""),"",G85-F85)</f>
        <v/>
      </c>
      <c r="J85" s="19" t="n"/>
      <c r="K85" s="15">
        <f>IFERROR(I85/J85,"")</f>
        <v/>
      </c>
      <c r="L85" s="14" t="n"/>
      <c r="M85" s="10" t="n"/>
      <c r="N85" s="10" t="n"/>
    </row>
    <row r="86">
      <c r="A86" s="11">
        <f>IF(B86="","",ROW()-3)</f>
        <v/>
      </c>
      <c r="B86" s="12" t="n"/>
      <c r="C86" s="13" t="n"/>
      <c r="D86" s="10" t="n"/>
      <c r="E86" s="10" t="n"/>
      <c r="F86" s="14" t="n"/>
      <c r="G86" s="14" t="n"/>
      <c r="H86" s="10" t="n"/>
      <c r="I86" s="18">
        <f>IF(OR(F86="",G86=""),"",G86-F86)</f>
        <v/>
      </c>
      <c r="J86" s="19" t="n"/>
      <c r="K86" s="15">
        <f>IFERROR(I86/J86,"")</f>
        <v/>
      </c>
      <c r="L86" s="14" t="n"/>
      <c r="M86" s="10" t="n"/>
      <c r="N86" s="10" t="n"/>
    </row>
    <row r="87">
      <c r="A87" s="11">
        <f>IF(B87="","",ROW()-3)</f>
        <v/>
      </c>
      <c r="B87" s="12" t="n"/>
      <c r="C87" s="13" t="n"/>
      <c r="D87" s="10" t="n"/>
      <c r="E87" s="10" t="n"/>
      <c r="F87" s="14" t="n"/>
      <c r="G87" s="14" t="n"/>
      <c r="H87" s="10" t="n"/>
      <c r="I87" s="18">
        <f>IF(OR(F87="",G87=""),"",G87-F87)</f>
        <v/>
      </c>
      <c r="J87" s="19" t="n"/>
      <c r="K87" s="15">
        <f>IFERROR(I87/J87,"")</f>
        <v/>
      </c>
      <c r="L87" s="14" t="n"/>
      <c r="M87" s="10" t="n"/>
      <c r="N87" s="10" t="n"/>
    </row>
    <row r="88">
      <c r="A88" s="11">
        <f>IF(B88="","",ROW()-3)</f>
        <v/>
      </c>
      <c r="B88" s="12" t="n"/>
      <c r="C88" s="13" t="n"/>
      <c r="D88" s="10" t="n"/>
      <c r="E88" s="10" t="n"/>
      <c r="F88" s="14" t="n"/>
      <c r="G88" s="14" t="n"/>
      <c r="H88" s="10" t="n"/>
      <c r="I88" s="18">
        <f>IF(OR(F88="",G88=""),"",G88-F88)</f>
        <v/>
      </c>
      <c r="J88" s="19" t="n"/>
      <c r="K88" s="15">
        <f>IFERROR(I88/J88,"")</f>
        <v/>
      </c>
      <c r="L88" s="14" t="n"/>
      <c r="M88" s="10" t="n"/>
      <c r="N88" s="10" t="n"/>
    </row>
    <row r="89">
      <c r="A89" s="11">
        <f>IF(B89="","",ROW()-3)</f>
        <v/>
      </c>
      <c r="B89" s="12" t="n"/>
      <c r="C89" s="13" t="n"/>
      <c r="D89" s="10" t="n"/>
      <c r="E89" s="10" t="n"/>
      <c r="F89" s="14" t="n"/>
      <c r="G89" s="14" t="n"/>
      <c r="H89" s="10" t="n"/>
      <c r="I89" s="18">
        <f>IF(OR(F89="",G89=""),"",G89-F89)</f>
        <v/>
      </c>
      <c r="J89" s="19" t="n"/>
      <c r="K89" s="15">
        <f>IFERROR(I89/J89,"")</f>
        <v/>
      </c>
      <c r="L89" s="14" t="n"/>
      <c r="M89" s="10" t="n"/>
      <c r="N89" s="10" t="n"/>
    </row>
    <row r="90">
      <c r="A90" s="11">
        <f>IF(B90="","",ROW()-3)</f>
        <v/>
      </c>
      <c r="B90" s="12" t="n"/>
      <c r="C90" s="13" t="n"/>
      <c r="D90" s="10" t="n"/>
      <c r="E90" s="10" t="n"/>
      <c r="F90" s="14" t="n"/>
      <c r="G90" s="14" t="n"/>
      <c r="H90" s="10" t="n"/>
      <c r="I90" s="18">
        <f>IF(OR(F90="",G90=""),"",G90-F90)</f>
        <v/>
      </c>
      <c r="J90" s="19" t="n"/>
      <c r="K90" s="15">
        <f>IFERROR(I90/J90,"")</f>
        <v/>
      </c>
      <c r="L90" s="14" t="n"/>
      <c r="M90" s="10" t="n"/>
      <c r="N90" s="10" t="n"/>
    </row>
    <row r="91">
      <c r="A91" s="11">
        <f>IF(B91="","",ROW()-3)</f>
        <v/>
      </c>
      <c r="B91" s="12" t="n"/>
      <c r="C91" s="13" t="n"/>
      <c r="D91" s="10" t="n"/>
      <c r="E91" s="10" t="n"/>
      <c r="F91" s="14" t="n"/>
      <c r="G91" s="14" t="n"/>
      <c r="H91" s="10" t="n"/>
      <c r="I91" s="18">
        <f>IF(OR(F91="",G91=""),"",G91-F91)</f>
        <v/>
      </c>
      <c r="J91" s="19" t="n"/>
      <c r="K91" s="15">
        <f>IFERROR(I91/J91,"")</f>
        <v/>
      </c>
      <c r="L91" s="14" t="n"/>
      <c r="M91" s="10" t="n"/>
      <c r="N91" s="10" t="n"/>
    </row>
    <row r="92">
      <c r="A92" s="11">
        <f>IF(B92="","",ROW()-3)</f>
        <v/>
      </c>
      <c r="B92" s="12" t="n"/>
      <c r="C92" s="13" t="n"/>
      <c r="D92" s="10" t="n"/>
      <c r="E92" s="10" t="n"/>
      <c r="F92" s="14" t="n"/>
      <c r="G92" s="14" t="n"/>
      <c r="H92" s="10" t="n"/>
      <c r="I92" s="18">
        <f>IF(OR(F92="",G92=""),"",G92-F92)</f>
        <v/>
      </c>
      <c r="J92" s="19" t="n"/>
      <c r="K92" s="15">
        <f>IFERROR(I92/J92,"")</f>
        <v/>
      </c>
      <c r="L92" s="14" t="n"/>
      <c r="M92" s="10" t="n"/>
      <c r="N92" s="10" t="n"/>
    </row>
    <row r="93">
      <c r="A93" s="11">
        <f>IF(B93="","",ROW()-3)</f>
        <v/>
      </c>
      <c r="B93" s="12" t="n"/>
      <c r="C93" s="13" t="n"/>
      <c r="D93" s="10" t="n"/>
      <c r="E93" s="10" t="n"/>
      <c r="F93" s="14" t="n"/>
      <c r="G93" s="14" t="n"/>
      <c r="H93" s="10" t="n"/>
      <c r="I93" s="18">
        <f>IF(OR(F93="",G93=""),"",G93-F93)</f>
        <v/>
      </c>
      <c r="J93" s="19" t="n"/>
      <c r="K93" s="15">
        <f>IFERROR(I93/J93,"")</f>
        <v/>
      </c>
      <c r="L93" s="14" t="n"/>
      <c r="M93" s="10" t="n"/>
      <c r="N93" s="10" t="n"/>
    </row>
    <row r="94">
      <c r="A94" s="11">
        <f>IF(B94="","",ROW()-3)</f>
        <v/>
      </c>
      <c r="B94" s="12" t="n"/>
      <c r="C94" s="13" t="n"/>
      <c r="D94" s="10" t="n"/>
      <c r="E94" s="10" t="n"/>
      <c r="F94" s="14" t="n"/>
      <c r="G94" s="14" t="n"/>
      <c r="H94" s="10" t="n"/>
      <c r="I94" s="18">
        <f>IF(OR(F94="",G94=""),"",G94-F94)</f>
        <v/>
      </c>
      <c r="J94" s="19" t="n"/>
      <c r="K94" s="15">
        <f>IFERROR(I94/J94,"")</f>
        <v/>
      </c>
      <c r="L94" s="14" t="n"/>
      <c r="M94" s="10" t="n"/>
      <c r="N94" s="10" t="n"/>
    </row>
    <row r="95">
      <c r="A95" s="11">
        <f>IF(B95="","",ROW()-3)</f>
        <v/>
      </c>
      <c r="B95" s="12" t="n"/>
      <c r="C95" s="13" t="n"/>
      <c r="D95" s="10" t="n"/>
      <c r="E95" s="10" t="n"/>
      <c r="F95" s="14" t="n"/>
      <c r="G95" s="14" t="n"/>
      <c r="H95" s="10" t="n"/>
      <c r="I95" s="18">
        <f>IF(OR(F95="",G95=""),"",G95-F95)</f>
        <v/>
      </c>
      <c r="J95" s="19" t="n"/>
      <c r="K95" s="15">
        <f>IFERROR(I95/J95,"")</f>
        <v/>
      </c>
      <c r="L95" s="14" t="n"/>
      <c r="M95" s="10" t="n"/>
      <c r="N95" s="10" t="n"/>
    </row>
    <row r="96">
      <c r="A96" s="11">
        <f>IF(B96="","",ROW()-3)</f>
        <v/>
      </c>
      <c r="B96" s="12" t="n"/>
      <c r="C96" s="13" t="n"/>
      <c r="D96" s="10" t="n"/>
      <c r="E96" s="10" t="n"/>
      <c r="F96" s="14" t="n"/>
      <c r="G96" s="14" t="n"/>
      <c r="H96" s="10" t="n"/>
      <c r="I96" s="18">
        <f>IF(OR(F96="",G96=""),"",G96-F96)</f>
        <v/>
      </c>
      <c r="J96" s="19" t="n"/>
      <c r="K96" s="15">
        <f>IFERROR(I96/J96,"")</f>
        <v/>
      </c>
      <c r="L96" s="14" t="n"/>
      <c r="M96" s="10" t="n"/>
      <c r="N96" s="10" t="n"/>
    </row>
    <row r="97">
      <c r="A97" s="11">
        <f>IF(B97="","",ROW()-3)</f>
        <v/>
      </c>
      <c r="B97" s="12" t="n"/>
      <c r="C97" s="13" t="n"/>
      <c r="D97" s="10" t="n"/>
      <c r="E97" s="10" t="n"/>
      <c r="F97" s="14" t="n"/>
      <c r="G97" s="14" t="n"/>
      <c r="H97" s="10" t="n"/>
      <c r="I97" s="18">
        <f>IF(OR(F97="",G97=""),"",G97-F97)</f>
        <v/>
      </c>
      <c r="J97" s="19" t="n"/>
      <c r="K97" s="15">
        <f>IFERROR(I97/J97,"")</f>
        <v/>
      </c>
      <c r="L97" s="14" t="n"/>
      <c r="M97" s="10" t="n"/>
      <c r="N97" s="10" t="n"/>
    </row>
    <row r="98">
      <c r="A98" s="11">
        <f>IF(B98="","",ROW()-3)</f>
        <v/>
      </c>
      <c r="B98" s="12" t="n"/>
      <c r="C98" s="13" t="n"/>
      <c r="D98" s="10" t="n"/>
      <c r="E98" s="10" t="n"/>
      <c r="F98" s="14" t="n"/>
      <c r="G98" s="14" t="n"/>
      <c r="H98" s="10" t="n"/>
      <c r="I98" s="18">
        <f>IF(OR(F98="",G98=""),"",G98-F98)</f>
        <v/>
      </c>
      <c r="J98" s="19" t="n"/>
      <c r="K98" s="15">
        <f>IFERROR(I98/J98,"")</f>
        <v/>
      </c>
      <c r="L98" s="14" t="n"/>
      <c r="M98" s="10" t="n"/>
      <c r="N98" s="10" t="n"/>
    </row>
    <row r="99">
      <c r="A99" s="11">
        <f>IF(B99="","",ROW()-3)</f>
        <v/>
      </c>
      <c r="B99" s="12" t="n"/>
      <c r="C99" s="13" t="n"/>
      <c r="D99" s="10" t="n"/>
      <c r="E99" s="10" t="n"/>
      <c r="F99" s="14" t="n"/>
      <c r="G99" s="14" t="n"/>
      <c r="H99" s="10" t="n"/>
      <c r="I99" s="18">
        <f>IF(OR(F99="",G99=""),"",G99-F99)</f>
        <v/>
      </c>
      <c r="J99" s="19" t="n"/>
      <c r="K99" s="15">
        <f>IFERROR(I99/J99,"")</f>
        <v/>
      </c>
      <c r="L99" s="14" t="n"/>
      <c r="M99" s="10" t="n"/>
      <c r="N99" s="10" t="n"/>
    </row>
    <row r="100">
      <c r="A100" s="11">
        <f>IF(B100="","",ROW()-3)</f>
        <v/>
      </c>
      <c r="B100" s="12" t="n"/>
      <c r="C100" s="13" t="n"/>
      <c r="D100" s="10" t="n"/>
      <c r="E100" s="10" t="n"/>
      <c r="F100" s="14" t="n"/>
      <c r="G100" s="14" t="n"/>
      <c r="H100" s="10" t="n"/>
      <c r="I100" s="18">
        <f>IF(OR(F100="",G100=""),"",G100-F100)</f>
        <v/>
      </c>
      <c r="J100" s="19" t="n"/>
      <c r="K100" s="15">
        <f>IFERROR(I100/J100,"")</f>
        <v/>
      </c>
      <c r="L100" s="14" t="n"/>
      <c r="M100" s="10" t="n"/>
      <c r="N100" s="10" t="n"/>
    </row>
    <row r="101">
      <c r="A101" s="11">
        <f>IF(B101="","",ROW()-3)</f>
        <v/>
      </c>
      <c r="B101" s="12" t="n"/>
      <c r="C101" s="13" t="n"/>
      <c r="D101" s="10" t="n"/>
      <c r="E101" s="10" t="n"/>
      <c r="F101" s="14" t="n"/>
      <c r="G101" s="14" t="n"/>
      <c r="H101" s="10" t="n"/>
      <c r="I101" s="18">
        <f>IF(OR(F101="",G101=""),"",G101-F101)</f>
        <v/>
      </c>
      <c r="J101" s="19" t="n"/>
      <c r="K101" s="15">
        <f>IFERROR(I101/J101,"")</f>
        <v/>
      </c>
      <c r="L101" s="14" t="n"/>
      <c r="M101" s="10" t="n"/>
      <c r="N101" s="10" t="n"/>
    </row>
    <row r="102">
      <c r="A102" s="11">
        <f>IF(B102="","",ROW()-3)</f>
        <v/>
      </c>
      <c r="B102" s="12" t="n"/>
      <c r="C102" s="13" t="n"/>
      <c r="D102" s="10" t="n"/>
      <c r="E102" s="10" t="n"/>
      <c r="F102" s="14" t="n"/>
      <c r="G102" s="14" t="n"/>
      <c r="H102" s="10" t="n"/>
      <c r="I102" s="18">
        <f>IF(OR(F102="",G102=""),"",G102-F102)</f>
        <v/>
      </c>
      <c r="J102" s="19" t="n"/>
      <c r="K102" s="15">
        <f>IFERROR(I102/J102,"")</f>
        <v/>
      </c>
      <c r="L102" s="14" t="n"/>
      <c r="M102" s="10" t="n"/>
      <c r="N102" s="10" t="n"/>
    </row>
    <row r="103">
      <c r="A103" s="11">
        <f>IF(B103="","",ROW()-3)</f>
        <v/>
      </c>
      <c r="B103" s="12" t="n"/>
      <c r="C103" s="13" t="n"/>
      <c r="D103" s="10" t="n"/>
      <c r="E103" s="10" t="n"/>
      <c r="F103" s="14" t="n"/>
      <c r="G103" s="14" t="n"/>
      <c r="H103" s="10" t="n"/>
      <c r="I103" s="18">
        <f>IF(OR(F103="",G103=""),"",G103-F103)</f>
        <v/>
      </c>
      <c r="J103" s="19" t="n"/>
      <c r="K103" s="15">
        <f>IFERROR(I103/J103,"")</f>
        <v/>
      </c>
      <c r="L103" s="14" t="n"/>
      <c r="M103" s="10" t="n"/>
      <c r="N103" s="10" t="n"/>
    </row>
    <row r="104">
      <c r="A104" s="11">
        <f>IF(B104="","",ROW()-3)</f>
        <v/>
      </c>
      <c r="B104" s="12" t="n"/>
      <c r="C104" s="13" t="n"/>
      <c r="D104" s="10" t="n"/>
      <c r="E104" s="10" t="n"/>
      <c r="F104" s="14" t="n"/>
      <c r="G104" s="14" t="n"/>
      <c r="H104" s="10" t="n"/>
      <c r="I104" s="18">
        <f>IF(OR(F104="",G104=""),"",G104-F104)</f>
        <v/>
      </c>
      <c r="J104" s="19" t="n"/>
      <c r="K104" s="15">
        <f>IFERROR(I104/J104,"")</f>
        <v/>
      </c>
      <c r="L104" s="14" t="n"/>
      <c r="M104" s="10" t="n"/>
      <c r="N104" s="10" t="n"/>
    </row>
    <row r="105">
      <c r="A105" s="11">
        <f>IF(B105="","",ROW()-3)</f>
        <v/>
      </c>
      <c r="B105" s="12" t="n"/>
      <c r="C105" s="13" t="n"/>
      <c r="D105" s="10" t="n"/>
      <c r="E105" s="10" t="n"/>
      <c r="F105" s="14" t="n"/>
      <c r="G105" s="14" t="n"/>
      <c r="H105" s="10" t="n"/>
      <c r="I105" s="18">
        <f>IF(OR(F105="",G105=""),"",G105-F105)</f>
        <v/>
      </c>
      <c r="J105" s="19" t="n"/>
      <c r="K105" s="15">
        <f>IFERROR(I105/J105,"")</f>
        <v/>
      </c>
      <c r="L105" s="14" t="n"/>
      <c r="M105" s="10" t="n"/>
      <c r="N105" s="10" t="n"/>
    </row>
    <row r="106">
      <c r="A106" s="11">
        <f>IF(B106="","",ROW()-3)</f>
        <v/>
      </c>
      <c r="B106" s="12" t="n"/>
      <c r="C106" s="13" t="n"/>
      <c r="D106" s="10" t="n"/>
      <c r="E106" s="10" t="n"/>
      <c r="F106" s="14" t="n"/>
      <c r="G106" s="14" t="n"/>
      <c r="H106" s="10" t="n"/>
      <c r="I106" s="18">
        <f>IF(OR(F106="",G106=""),"",G106-F106)</f>
        <v/>
      </c>
      <c r="J106" s="19" t="n"/>
      <c r="K106" s="15">
        <f>IFERROR(I106/J106,"")</f>
        <v/>
      </c>
      <c r="L106" s="14" t="n"/>
      <c r="M106" s="10" t="n"/>
      <c r="N106" s="10" t="n"/>
    </row>
    <row r="107">
      <c r="A107" s="11">
        <f>IF(B107="","",ROW()-3)</f>
        <v/>
      </c>
      <c r="B107" s="12" t="n"/>
      <c r="C107" s="13" t="n"/>
      <c r="D107" s="10" t="n"/>
      <c r="E107" s="10" t="n"/>
      <c r="F107" s="14" t="n"/>
      <c r="G107" s="14" t="n"/>
      <c r="H107" s="10" t="n"/>
      <c r="I107" s="18">
        <f>IF(OR(F107="",G107=""),"",G107-F107)</f>
        <v/>
      </c>
      <c r="J107" s="19" t="n"/>
      <c r="K107" s="15">
        <f>IFERROR(I107/J107,"")</f>
        <v/>
      </c>
      <c r="L107" s="14" t="n"/>
      <c r="M107" s="10" t="n"/>
      <c r="N107" s="10" t="n"/>
    </row>
    <row r="108">
      <c r="A108" s="11">
        <f>IF(B108="","",ROW()-3)</f>
        <v/>
      </c>
      <c r="B108" s="12" t="n"/>
      <c r="C108" s="13" t="n"/>
      <c r="D108" s="10" t="n"/>
      <c r="E108" s="10" t="n"/>
      <c r="F108" s="14" t="n"/>
      <c r="G108" s="14" t="n"/>
      <c r="H108" s="10" t="n"/>
      <c r="I108" s="18">
        <f>IF(OR(F108="",G108=""),"",G108-F108)</f>
        <v/>
      </c>
      <c r="J108" s="19" t="n"/>
      <c r="K108" s="15">
        <f>IFERROR(I108/J108,"")</f>
        <v/>
      </c>
      <c r="L108" s="14" t="n"/>
      <c r="M108" s="10" t="n"/>
      <c r="N108" s="10" t="n"/>
    </row>
    <row r="109">
      <c r="A109" s="11">
        <f>IF(B109="","",ROW()-3)</f>
        <v/>
      </c>
      <c r="B109" s="12" t="n"/>
      <c r="C109" s="13" t="n"/>
      <c r="D109" s="10" t="n"/>
      <c r="E109" s="10" t="n"/>
      <c r="F109" s="14" t="n"/>
      <c r="G109" s="14" t="n"/>
      <c r="H109" s="10" t="n"/>
      <c r="I109" s="18">
        <f>IF(OR(F109="",G109=""),"",G109-F109)</f>
        <v/>
      </c>
      <c r="J109" s="19" t="n"/>
      <c r="K109" s="15">
        <f>IFERROR(I109/J109,"")</f>
        <v/>
      </c>
      <c r="L109" s="14" t="n"/>
      <c r="M109" s="10" t="n"/>
      <c r="N109" s="10" t="n"/>
    </row>
    <row r="110">
      <c r="A110" s="11">
        <f>IF(B110="","",ROW()-3)</f>
        <v/>
      </c>
      <c r="B110" s="12" t="n"/>
      <c r="C110" s="13" t="n"/>
      <c r="D110" s="10" t="n"/>
      <c r="E110" s="10" t="n"/>
      <c r="F110" s="14" t="n"/>
      <c r="G110" s="14" t="n"/>
      <c r="H110" s="10" t="n"/>
      <c r="I110" s="18">
        <f>IF(OR(F110="",G110=""),"",G110-F110)</f>
        <v/>
      </c>
      <c r="J110" s="19" t="n"/>
      <c r="K110" s="15">
        <f>IFERROR(I110/J110,"")</f>
        <v/>
      </c>
      <c r="L110" s="14" t="n"/>
      <c r="M110" s="10" t="n"/>
      <c r="N110" s="10" t="n"/>
    </row>
    <row r="111">
      <c r="A111" s="11">
        <f>IF(B111="","",ROW()-3)</f>
        <v/>
      </c>
      <c r="B111" s="12" t="n"/>
      <c r="C111" s="13" t="n"/>
      <c r="D111" s="10" t="n"/>
      <c r="E111" s="10" t="n"/>
      <c r="F111" s="14" t="n"/>
      <c r="G111" s="14" t="n"/>
      <c r="H111" s="10" t="n"/>
      <c r="I111" s="18">
        <f>IF(OR(F111="",G111=""),"",G111-F111)</f>
        <v/>
      </c>
      <c r="J111" s="19" t="n"/>
      <c r="K111" s="15">
        <f>IFERROR(I111/J111,"")</f>
        <v/>
      </c>
      <c r="L111" s="14" t="n"/>
      <c r="M111" s="10" t="n"/>
      <c r="N111" s="10" t="n"/>
    </row>
    <row r="112">
      <c r="A112" s="11">
        <f>IF(B112="","",ROW()-3)</f>
        <v/>
      </c>
      <c r="B112" s="12" t="n"/>
      <c r="C112" s="13" t="n"/>
      <c r="D112" s="10" t="n"/>
      <c r="E112" s="10" t="n"/>
      <c r="F112" s="14" t="n"/>
      <c r="G112" s="14" t="n"/>
      <c r="H112" s="10" t="n"/>
      <c r="I112" s="18">
        <f>IF(OR(F112="",G112=""),"",G112-F112)</f>
        <v/>
      </c>
      <c r="J112" s="19" t="n"/>
      <c r="K112" s="15">
        <f>IFERROR(I112/J112,"")</f>
        <v/>
      </c>
      <c r="L112" s="14" t="n"/>
      <c r="M112" s="10" t="n"/>
      <c r="N112" s="10" t="n"/>
    </row>
    <row r="113">
      <c r="A113" s="11">
        <f>IF(B113="","",ROW()-3)</f>
        <v/>
      </c>
      <c r="B113" s="12" t="n"/>
      <c r="C113" s="13" t="n"/>
      <c r="D113" s="10" t="n"/>
      <c r="E113" s="10" t="n"/>
      <c r="F113" s="14" t="n"/>
      <c r="G113" s="14" t="n"/>
      <c r="H113" s="10" t="n"/>
      <c r="I113" s="18">
        <f>IF(OR(F113="",G113=""),"",G113-F113)</f>
        <v/>
      </c>
      <c r="J113" s="19" t="n"/>
      <c r="K113" s="15">
        <f>IFERROR(I113/J113,"")</f>
        <v/>
      </c>
      <c r="L113" s="14" t="n"/>
      <c r="M113" s="10" t="n"/>
      <c r="N113" s="10" t="n"/>
    </row>
    <row r="114">
      <c r="A114" s="11">
        <f>IF(B114="","",ROW()-3)</f>
        <v/>
      </c>
      <c r="B114" s="12" t="n"/>
      <c r="C114" s="13" t="n"/>
      <c r="D114" s="10" t="n"/>
      <c r="E114" s="10" t="n"/>
      <c r="F114" s="14" t="n"/>
      <c r="G114" s="14" t="n"/>
      <c r="H114" s="10" t="n"/>
      <c r="I114" s="18">
        <f>IF(OR(F114="",G114=""),"",G114-F114)</f>
        <v/>
      </c>
      <c r="J114" s="19" t="n"/>
      <c r="K114" s="15">
        <f>IFERROR(I114/J114,"")</f>
        <v/>
      </c>
      <c r="L114" s="14" t="n"/>
      <c r="M114" s="10" t="n"/>
      <c r="N114" s="10" t="n"/>
    </row>
    <row r="115">
      <c r="A115" s="11">
        <f>IF(B115="","",ROW()-3)</f>
        <v/>
      </c>
      <c r="B115" s="12" t="n"/>
      <c r="C115" s="13" t="n"/>
      <c r="D115" s="10" t="n"/>
      <c r="E115" s="10" t="n"/>
      <c r="F115" s="14" t="n"/>
      <c r="G115" s="14" t="n"/>
      <c r="H115" s="10" t="n"/>
      <c r="I115" s="18">
        <f>IF(OR(F115="",G115=""),"",G115-F115)</f>
        <v/>
      </c>
      <c r="J115" s="19" t="n"/>
      <c r="K115" s="15">
        <f>IFERROR(I115/J115,"")</f>
        <v/>
      </c>
      <c r="L115" s="14" t="n"/>
      <c r="M115" s="10" t="n"/>
      <c r="N115" s="10" t="n"/>
    </row>
    <row r="116">
      <c r="A116" s="11">
        <f>IF(B116="","",ROW()-3)</f>
        <v/>
      </c>
      <c r="B116" s="12" t="n"/>
      <c r="C116" s="13" t="n"/>
      <c r="D116" s="10" t="n"/>
      <c r="E116" s="10" t="n"/>
      <c r="F116" s="14" t="n"/>
      <c r="G116" s="14" t="n"/>
      <c r="H116" s="10" t="n"/>
      <c r="I116" s="18">
        <f>IF(OR(F116="",G116=""),"",G116-F116)</f>
        <v/>
      </c>
      <c r="J116" s="19" t="n"/>
      <c r="K116" s="15">
        <f>IFERROR(I116/J116,"")</f>
        <v/>
      </c>
      <c r="L116" s="14" t="n"/>
      <c r="M116" s="10" t="n"/>
      <c r="N116" s="10" t="n"/>
    </row>
    <row r="117">
      <c r="A117" s="11">
        <f>IF(B117="","",ROW()-3)</f>
        <v/>
      </c>
      <c r="B117" s="12" t="n"/>
      <c r="C117" s="13" t="n"/>
      <c r="D117" s="10" t="n"/>
      <c r="E117" s="10" t="n"/>
      <c r="F117" s="14" t="n"/>
      <c r="G117" s="14" t="n"/>
      <c r="H117" s="10" t="n"/>
      <c r="I117" s="18">
        <f>IF(OR(F117="",G117=""),"",G117-F117)</f>
        <v/>
      </c>
      <c r="J117" s="19" t="n"/>
      <c r="K117" s="15">
        <f>IFERROR(I117/J117,"")</f>
        <v/>
      </c>
      <c r="L117" s="14" t="n"/>
      <c r="M117" s="10" t="n"/>
      <c r="N117" s="10" t="n"/>
    </row>
    <row r="118">
      <c r="A118" s="11">
        <f>IF(B118="","",ROW()-3)</f>
        <v/>
      </c>
      <c r="B118" s="12" t="n"/>
      <c r="C118" s="13" t="n"/>
      <c r="D118" s="10" t="n"/>
      <c r="E118" s="10" t="n"/>
      <c r="F118" s="14" t="n"/>
      <c r="G118" s="14" t="n"/>
      <c r="H118" s="10" t="n"/>
      <c r="I118" s="18">
        <f>IF(OR(F118="",G118=""),"",G118-F118)</f>
        <v/>
      </c>
      <c r="J118" s="19" t="n"/>
      <c r="K118" s="15">
        <f>IFERROR(I118/J118,"")</f>
        <v/>
      </c>
      <c r="L118" s="14" t="n"/>
      <c r="M118" s="10" t="n"/>
      <c r="N118" s="10" t="n"/>
    </row>
    <row r="119">
      <c r="A119" s="11">
        <f>IF(B119="","",ROW()-3)</f>
        <v/>
      </c>
      <c r="B119" s="12" t="n"/>
      <c r="C119" s="13" t="n"/>
      <c r="D119" s="10" t="n"/>
      <c r="E119" s="10" t="n"/>
      <c r="F119" s="14" t="n"/>
      <c r="G119" s="14" t="n"/>
      <c r="H119" s="10" t="n"/>
      <c r="I119" s="18">
        <f>IF(OR(F119="",G119=""),"",G119-F119)</f>
        <v/>
      </c>
      <c r="J119" s="19" t="n"/>
      <c r="K119" s="15">
        <f>IFERROR(I119/J119,"")</f>
        <v/>
      </c>
      <c r="L119" s="14" t="n"/>
      <c r="M119" s="10" t="n"/>
      <c r="N119" s="10" t="n"/>
    </row>
    <row r="120">
      <c r="A120" s="11">
        <f>IF(B120="","",ROW()-3)</f>
        <v/>
      </c>
      <c r="B120" s="12" t="n"/>
      <c r="C120" s="13" t="n"/>
      <c r="D120" s="10" t="n"/>
      <c r="E120" s="10" t="n"/>
      <c r="F120" s="14" t="n"/>
      <c r="G120" s="14" t="n"/>
      <c r="H120" s="10" t="n"/>
      <c r="I120" s="18">
        <f>IF(OR(F120="",G120=""),"",G120-F120)</f>
        <v/>
      </c>
      <c r="J120" s="19" t="n"/>
      <c r="K120" s="15">
        <f>IFERROR(I120/J120,"")</f>
        <v/>
      </c>
      <c r="L120" s="14" t="n"/>
      <c r="M120" s="10" t="n"/>
      <c r="N120" s="10" t="n"/>
    </row>
    <row r="121">
      <c r="A121" s="11">
        <f>IF(B121="","",ROW()-3)</f>
        <v/>
      </c>
      <c r="B121" s="12" t="n"/>
      <c r="C121" s="13" t="n"/>
      <c r="D121" s="10" t="n"/>
      <c r="E121" s="10" t="n"/>
      <c r="F121" s="14" t="n"/>
      <c r="G121" s="14" t="n"/>
      <c r="H121" s="10" t="n"/>
      <c r="I121" s="18">
        <f>IF(OR(F121="",G121=""),"",G121-F121)</f>
        <v/>
      </c>
      <c r="J121" s="19" t="n"/>
      <c r="K121" s="15">
        <f>IFERROR(I121/J121,"")</f>
        <v/>
      </c>
      <c r="L121" s="14" t="n"/>
      <c r="M121" s="10" t="n"/>
      <c r="N121" s="10" t="n"/>
    </row>
    <row r="122">
      <c r="A122" s="11">
        <f>IF(B122="","",ROW()-3)</f>
        <v/>
      </c>
      <c r="B122" s="12" t="n"/>
      <c r="C122" s="13" t="n"/>
      <c r="D122" s="10" t="n"/>
      <c r="E122" s="10" t="n"/>
      <c r="F122" s="14" t="n"/>
      <c r="G122" s="14" t="n"/>
      <c r="H122" s="10" t="n"/>
      <c r="I122" s="18">
        <f>IF(OR(F122="",G122=""),"",G122-F122)</f>
        <v/>
      </c>
      <c r="J122" s="19" t="n"/>
      <c r="K122" s="15">
        <f>IFERROR(I122/J122,"")</f>
        <v/>
      </c>
      <c r="L122" s="14" t="n"/>
      <c r="M122" s="10" t="n"/>
      <c r="N122" s="10" t="n"/>
    </row>
    <row r="123">
      <c r="A123" s="11">
        <f>IF(B123="","",ROW()-3)</f>
        <v/>
      </c>
      <c r="B123" s="12" t="n"/>
      <c r="C123" s="13" t="n"/>
      <c r="D123" s="10" t="n"/>
      <c r="E123" s="10" t="n"/>
      <c r="F123" s="14" t="n"/>
      <c r="G123" s="14" t="n"/>
      <c r="H123" s="10" t="n"/>
      <c r="I123" s="18">
        <f>IF(OR(F123="",G123=""),"",G123-F123)</f>
        <v/>
      </c>
      <c r="J123" s="19" t="n"/>
      <c r="K123" s="15">
        <f>IFERROR(I123/J123,"")</f>
        <v/>
      </c>
      <c r="L123" s="14" t="n"/>
      <c r="M123" s="10" t="n"/>
      <c r="N123" s="10" t="n"/>
    </row>
    <row r="124">
      <c r="A124" s="11">
        <f>IF(B124="","",ROW()-3)</f>
        <v/>
      </c>
      <c r="B124" s="12" t="n"/>
      <c r="C124" s="13" t="n"/>
      <c r="D124" s="10" t="n"/>
      <c r="E124" s="10" t="n"/>
      <c r="F124" s="14" t="n"/>
      <c r="G124" s="14" t="n"/>
      <c r="H124" s="10" t="n"/>
      <c r="I124" s="18">
        <f>IF(OR(F124="",G124=""),"",G124-F124)</f>
        <v/>
      </c>
      <c r="J124" s="19" t="n"/>
      <c r="K124" s="15">
        <f>IFERROR(I124/J124,"")</f>
        <v/>
      </c>
      <c r="L124" s="14" t="n"/>
      <c r="M124" s="10" t="n"/>
      <c r="N124" s="10" t="n"/>
    </row>
    <row r="125">
      <c r="A125" s="11">
        <f>IF(B125="","",ROW()-3)</f>
        <v/>
      </c>
      <c r="B125" s="12" t="n"/>
      <c r="C125" s="13" t="n"/>
      <c r="D125" s="10" t="n"/>
      <c r="E125" s="10" t="n"/>
      <c r="F125" s="14" t="n"/>
      <c r="G125" s="14" t="n"/>
      <c r="H125" s="10" t="n"/>
      <c r="I125" s="18">
        <f>IF(OR(F125="",G125=""),"",G125-F125)</f>
        <v/>
      </c>
      <c r="J125" s="19" t="n"/>
      <c r="K125" s="15">
        <f>IFERROR(I125/J125,"")</f>
        <v/>
      </c>
      <c r="L125" s="14" t="n"/>
      <c r="M125" s="10" t="n"/>
      <c r="N125" s="10" t="n"/>
    </row>
    <row r="126">
      <c r="A126" s="11">
        <f>IF(B126="","",ROW()-3)</f>
        <v/>
      </c>
      <c r="B126" s="12" t="n"/>
      <c r="C126" s="13" t="n"/>
      <c r="D126" s="10" t="n"/>
      <c r="E126" s="10" t="n"/>
      <c r="F126" s="14" t="n"/>
      <c r="G126" s="14" t="n"/>
      <c r="H126" s="10" t="n"/>
      <c r="I126" s="18">
        <f>IF(OR(F126="",G126=""),"",G126-F126)</f>
        <v/>
      </c>
      <c r="J126" s="19" t="n"/>
      <c r="K126" s="15">
        <f>IFERROR(I126/J126,"")</f>
        <v/>
      </c>
      <c r="L126" s="14" t="n"/>
      <c r="M126" s="10" t="n"/>
      <c r="N126" s="10" t="n"/>
    </row>
    <row r="127">
      <c r="A127" s="11">
        <f>IF(B127="","",ROW()-3)</f>
        <v/>
      </c>
      <c r="B127" s="12" t="n"/>
      <c r="C127" s="13" t="n"/>
      <c r="D127" s="10" t="n"/>
      <c r="E127" s="10" t="n"/>
      <c r="F127" s="14" t="n"/>
      <c r="G127" s="14" t="n"/>
      <c r="H127" s="10" t="n"/>
      <c r="I127" s="18">
        <f>IF(OR(F127="",G127=""),"",G127-F127)</f>
        <v/>
      </c>
      <c r="J127" s="19" t="n"/>
      <c r="K127" s="15">
        <f>IFERROR(I127/J127,"")</f>
        <v/>
      </c>
      <c r="L127" s="14" t="n"/>
      <c r="M127" s="10" t="n"/>
      <c r="N127" s="10" t="n"/>
    </row>
    <row r="128">
      <c r="A128" s="11">
        <f>IF(B128="","",ROW()-3)</f>
        <v/>
      </c>
      <c r="B128" s="12" t="n"/>
      <c r="C128" s="13" t="n"/>
      <c r="D128" s="10" t="n"/>
      <c r="E128" s="10" t="n"/>
      <c r="F128" s="14" t="n"/>
      <c r="G128" s="14" t="n"/>
      <c r="H128" s="10" t="n"/>
      <c r="I128" s="18">
        <f>IF(OR(F128="",G128=""),"",G128-F128)</f>
        <v/>
      </c>
      <c r="J128" s="19" t="n"/>
      <c r="K128" s="15">
        <f>IFERROR(I128/J128,"")</f>
        <v/>
      </c>
      <c r="L128" s="14" t="n"/>
      <c r="M128" s="10" t="n"/>
      <c r="N128" s="10" t="n"/>
    </row>
    <row r="129">
      <c r="A129" s="11">
        <f>IF(B129="","",ROW()-3)</f>
        <v/>
      </c>
      <c r="B129" s="12" t="n"/>
      <c r="C129" s="13" t="n"/>
      <c r="D129" s="10" t="n"/>
      <c r="E129" s="10" t="n"/>
      <c r="F129" s="14" t="n"/>
      <c r="G129" s="14" t="n"/>
      <c r="H129" s="10" t="n"/>
      <c r="I129" s="18">
        <f>IF(OR(F129="",G129=""),"",G129-F129)</f>
        <v/>
      </c>
      <c r="J129" s="19" t="n"/>
      <c r="K129" s="15">
        <f>IFERROR(I129/J129,"")</f>
        <v/>
      </c>
      <c r="L129" s="14" t="n"/>
      <c r="M129" s="10" t="n"/>
      <c r="N129" s="10" t="n"/>
    </row>
    <row r="130">
      <c r="A130" s="11">
        <f>IF(B130="","",ROW()-3)</f>
        <v/>
      </c>
      <c r="B130" s="12" t="n"/>
      <c r="C130" s="13" t="n"/>
      <c r="D130" s="10" t="n"/>
      <c r="E130" s="10" t="n"/>
      <c r="F130" s="14" t="n"/>
      <c r="G130" s="14" t="n"/>
      <c r="H130" s="10" t="n"/>
      <c r="I130" s="18">
        <f>IF(OR(F130="",G130=""),"",G130-F130)</f>
        <v/>
      </c>
      <c r="J130" s="19" t="n"/>
      <c r="K130" s="15">
        <f>IFERROR(I130/J130,"")</f>
        <v/>
      </c>
      <c r="L130" s="14" t="n"/>
      <c r="M130" s="10" t="n"/>
      <c r="N130" s="10" t="n"/>
    </row>
    <row r="131">
      <c r="A131" s="11">
        <f>IF(B131="","",ROW()-3)</f>
        <v/>
      </c>
      <c r="B131" s="12" t="n"/>
      <c r="C131" s="13" t="n"/>
      <c r="D131" s="10" t="n"/>
      <c r="E131" s="10" t="n"/>
      <c r="F131" s="14" t="n"/>
      <c r="G131" s="14" t="n"/>
      <c r="H131" s="10" t="n"/>
      <c r="I131" s="18">
        <f>IF(OR(F131="",G131=""),"",G131-F131)</f>
        <v/>
      </c>
      <c r="J131" s="19" t="n"/>
      <c r="K131" s="15">
        <f>IFERROR(I131/J131,"")</f>
        <v/>
      </c>
      <c r="L131" s="14" t="n"/>
      <c r="M131" s="10" t="n"/>
      <c r="N131" s="10" t="n"/>
    </row>
    <row r="132">
      <c r="A132" s="11">
        <f>IF(B132="","",ROW()-3)</f>
        <v/>
      </c>
      <c r="B132" s="12" t="n"/>
      <c r="C132" s="13" t="n"/>
      <c r="D132" s="10" t="n"/>
      <c r="E132" s="10" t="n"/>
      <c r="F132" s="14" t="n"/>
      <c r="G132" s="14" t="n"/>
      <c r="H132" s="10" t="n"/>
      <c r="I132" s="18">
        <f>IF(OR(F132="",G132=""),"",G132-F132)</f>
        <v/>
      </c>
      <c r="J132" s="19" t="n"/>
      <c r="K132" s="15">
        <f>IFERROR(I132/J132,"")</f>
        <v/>
      </c>
      <c r="L132" s="14" t="n"/>
      <c r="M132" s="10" t="n"/>
      <c r="N132" s="10" t="n"/>
    </row>
    <row r="133">
      <c r="A133" s="11">
        <f>IF(B133="","",ROW()-3)</f>
        <v/>
      </c>
      <c r="B133" s="12" t="n"/>
      <c r="C133" s="13" t="n"/>
      <c r="D133" s="10" t="n"/>
      <c r="E133" s="10" t="n"/>
      <c r="F133" s="14" t="n"/>
      <c r="G133" s="14" t="n"/>
      <c r="H133" s="10" t="n"/>
      <c r="I133" s="18">
        <f>IF(OR(F133="",G133=""),"",G133-F133)</f>
        <v/>
      </c>
      <c r="J133" s="19" t="n"/>
      <c r="K133" s="15">
        <f>IFERROR(I133/J133,"")</f>
        <v/>
      </c>
      <c r="L133" s="14" t="n"/>
      <c r="M133" s="10" t="n"/>
      <c r="N133" s="10" t="n"/>
    </row>
    <row r="134">
      <c r="A134" s="11">
        <f>IF(B134="","",ROW()-3)</f>
        <v/>
      </c>
      <c r="B134" s="12" t="n"/>
      <c r="C134" s="13" t="n"/>
      <c r="D134" s="10" t="n"/>
      <c r="E134" s="10" t="n"/>
      <c r="F134" s="14" t="n"/>
      <c r="G134" s="14" t="n"/>
      <c r="H134" s="10" t="n"/>
      <c r="I134" s="18">
        <f>IF(OR(F134="",G134=""),"",G134-F134)</f>
        <v/>
      </c>
      <c r="J134" s="19" t="n"/>
      <c r="K134" s="15">
        <f>IFERROR(I134/J134,"")</f>
        <v/>
      </c>
      <c r="L134" s="14" t="n"/>
      <c r="M134" s="10" t="n"/>
      <c r="N134" s="10" t="n"/>
    </row>
    <row r="135">
      <c r="A135" s="11">
        <f>IF(B135="","",ROW()-3)</f>
        <v/>
      </c>
      <c r="B135" s="12" t="n"/>
      <c r="C135" s="13" t="n"/>
      <c r="D135" s="10" t="n"/>
      <c r="E135" s="10" t="n"/>
      <c r="F135" s="14" t="n"/>
      <c r="G135" s="14" t="n"/>
      <c r="H135" s="10" t="n"/>
      <c r="I135" s="18">
        <f>IF(OR(F135="",G135=""),"",G135-F135)</f>
        <v/>
      </c>
      <c r="J135" s="19" t="n"/>
      <c r="K135" s="15">
        <f>IFERROR(I135/J135,"")</f>
        <v/>
      </c>
      <c r="L135" s="14" t="n"/>
      <c r="M135" s="10" t="n"/>
      <c r="N135" s="10" t="n"/>
    </row>
    <row r="136">
      <c r="A136" s="11">
        <f>IF(B136="","",ROW()-3)</f>
        <v/>
      </c>
      <c r="B136" s="12" t="n"/>
      <c r="C136" s="13" t="n"/>
      <c r="D136" s="10" t="n"/>
      <c r="E136" s="10" t="n"/>
      <c r="F136" s="14" t="n"/>
      <c r="G136" s="14" t="n"/>
      <c r="H136" s="10" t="n"/>
      <c r="I136" s="18">
        <f>IF(OR(F136="",G136=""),"",G136-F136)</f>
        <v/>
      </c>
      <c r="J136" s="19" t="n"/>
      <c r="K136" s="15">
        <f>IFERROR(I136/J136,"")</f>
        <v/>
      </c>
      <c r="L136" s="14" t="n"/>
      <c r="M136" s="10" t="n"/>
      <c r="N136" s="10" t="n"/>
    </row>
    <row r="137">
      <c r="A137" s="11">
        <f>IF(B137="","",ROW()-3)</f>
        <v/>
      </c>
      <c r="B137" s="12" t="n"/>
      <c r="C137" s="13" t="n"/>
      <c r="D137" s="10" t="n"/>
      <c r="E137" s="10" t="n"/>
      <c r="F137" s="14" t="n"/>
      <c r="G137" s="14" t="n"/>
      <c r="H137" s="10" t="n"/>
      <c r="I137" s="18">
        <f>IF(OR(F137="",G137=""),"",G137-F137)</f>
        <v/>
      </c>
      <c r="J137" s="19" t="n"/>
      <c r="K137" s="15">
        <f>IFERROR(I137/J137,"")</f>
        <v/>
      </c>
      <c r="L137" s="14" t="n"/>
      <c r="M137" s="10" t="n"/>
      <c r="N137" s="10" t="n"/>
    </row>
    <row r="138">
      <c r="A138" s="11">
        <f>IF(B138="","",ROW()-3)</f>
        <v/>
      </c>
      <c r="B138" s="12" t="n"/>
      <c r="C138" s="13" t="n"/>
      <c r="D138" s="10" t="n"/>
      <c r="E138" s="10" t="n"/>
      <c r="F138" s="14" t="n"/>
      <c r="G138" s="14" t="n"/>
      <c r="H138" s="10" t="n"/>
      <c r="I138" s="18">
        <f>IF(OR(F138="",G138=""),"",G138-F138)</f>
        <v/>
      </c>
      <c r="J138" s="19" t="n"/>
      <c r="K138" s="15">
        <f>IFERROR(I138/J138,"")</f>
        <v/>
      </c>
      <c r="L138" s="14" t="n"/>
      <c r="M138" s="10" t="n"/>
      <c r="N138" s="10" t="n"/>
    </row>
    <row r="139">
      <c r="A139" s="11">
        <f>IF(B139="","",ROW()-3)</f>
        <v/>
      </c>
      <c r="B139" s="12" t="n"/>
      <c r="C139" s="13" t="n"/>
      <c r="D139" s="10" t="n"/>
      <c r="E139" s="10" t="n"/>
      <c r="F139" s="14" t="n"/>
      <c r="G139" s="14" t="n"/>
      <c r="H139" s="10" t="n"/>
      <c r="I139" s="18">
        <f>IF(OR(F139="",G139=""),"",G139-F139)</f>
        <v/>
      </c>
      <c r="J139" s="19" t="n"/>
      <c r="K139" s="15">
        <f>IFERROR(I139/J139,"")</f>
        <v/>
      </c>
      <c r="L139" s="14" t="n"/>
      <c r="M139" s="10" t="n"/>
      <c r="N139" s="10" t="n"/>
    </row>
    <row r="140">
      <c r="A140" s="11">
        <f>IF(B140="","",ROW()-3)</f>
        <v/>
      </c>
      <c r="B140" s="12" t="n"/>
      <c r="C140" s="13" t="n"/>
      <c r="D140" s="10" t="n"/>
      <c r="E140" s="10" t="n"/>
      <c r="F140" s="14" t="n"/>
      <c r="G140" s="14" t="n"/>
      <c r="H140" s="10" t="n"/>
      <c r="I140" s="18">
        <f>IF(OR(F140="",G140=""),"",G140-F140)</f>
        <v/>
      </c>
      <c r="J140" s="19" t="n"/>
      <c r="K140" s="15">
        <f>IFERROR(I140/J140,"")</f>
        <v/>
      </c>
      <c r="L140" s="14" t="n"/>
      <c r="M140" s="10" t="n"/>
      <c r="N140" s="10" t="n"/>
    </row>
    <row r="141">
      <c r="A141" s="11">
        <f>IF(B141="","",ROW()-3)</f>
        <v/>
      </c>
      <c r="B141" s="12" t="n"/>
      <c r="C141" s="13" t="n"/>
      <c r="D141" s="10" t="n"/>
      <c r="E141" s="10" t="n"/>
      <c r="F141" s="14" t="n"/>
      <c r="G141" s="14" t="n"/>
      <c r="H141" s="10" t="n"/>
      <c r="I141" s="18">
        <f>IF(OR(F141="",G141=""),"",G141-F141)</f>
        <v/>
      </c>
      <c r="J141" s="19" t="n"/>
      <c r="K141" s="15">
        <f>IFERROR(I141/J141,"")</f>
        <v/>
      </c>
      <c r="L141" s="14" t="n"/>
      <c r="M141" s="10" t="n"/>
      <c r="N141" s="10" t="n"/>
    </row>
    <row r="142">
      <c r="A142" s="11">
        <f>IF(B142="","",ROW()-3)</f>
        <v/>
      </c>
      <c r="B142" s="12" t="n"/>
      <c r="C142" s="13" t="n"/>
      <c r="D142" s="10" t="n"/>
      <c r="E142" s="10" t="n"/>
      <c r="F142" s="14" t="n"/>
      <c r="G142" s="14" t="n"/>
      <c r="H142" s="10" t="n"/>
      <c r="I142" s="18">
        <f>IF(OR(F142="",G142=""),"",G142-F142)</f>
        <v/>
      </c>
      <c r="J142" s="19" t="n"/>
      <c r="K142" s="15">
        <f>IFERROR(I142/J142,"")</f>
        <v/>
      </c>
      <c r="L142" s="14" t="n"/>
      <c r="M142" s="10" t="n"/>
      <c r="N142" s="10" t="n"/>
    </row>
    <row r="143">
      <c r="A143" s="11">
        <f>IF(B143="","",ROW()-3)</f>
        <v/>
      </c>
      <c r="B143" s="12" t="n"/>
      <c r="C143" s="13" t="n"/>
      <c r="D143" s="10" t="n"/>
      <c r="E143" s="10" t="n"/>
      <c r="F143" s="14" t="n"/>
      <c r="G143" s="14" t="n"/>
      <c r="H143" s="10" t="n"/>
      <c r="I143" s="18">
        <f>IF(OR(F143="",G143=""),"",G143-F143)</f>
        <v/>
      </c>
      <c r="J143" s="19" t="n"/>
      <c r="K143" s="15">
        <f>IFERROR(I143/J143,"")</f>
        <v/>
      </c>
      <c r="L143" s="14" t="n"/>
      <c r="M143" s="10" t="n"/>
      <c r="N143" s="10" t="n"/>
    </row>
    <row r="144">
      <c r="A144" s="11">
        <f>IF(B144="","",ROW()-3)</f>
        <v/>
      </c>
      <c r="B144" s="12" t="n"/>
      <c r="C144" s="13" t="n"/>
      <c r="D144" s="10" t="n"/>
      <c r="E144" s="10" t="n"/>
      <c r="F144" s="14" t="n"/>
      <c r="G144" s="14" t="n"/>
      <c r="H144" s="10" t="n"/>
      <c r="I144" s="18">
        <f>IF(OR(F144="",G144=""),"",G144-F144)</f>
        <v/>
      </c>
      <c r="J144" s="19" t="n"/>
      <c r="K144" s="15">
        <f>IFERROR(I144/J144,"")</f>
        <v/>
      </c>
      <c r="L144" s="14" t="n"/>
      <c r="M144" s="10" t="n"/>
      <c r="N144" s="10" t="n"/>
    </row>
    <row r="145">
      <c r="A145" s="11">
        <f>IF(B145="","",ROW()-3)</f>
        <v/>
      </c>
      <c r="B145" s="12" t="n"/>
      <c r="C145" s="13" t="n"/>
      <c r="D145" s="10" t="n"/>
      <c r="E145" s="10" t="n"/>
      <c r="F145" s="14" t="n"/>
      <c r="G145" s="14" t="n"/>
      <c r="H145" s="10" t="n"/>
      <c r="I145" s="18">
        <f>IF(OR(F145="",G145=""),"",G145-F145)</f>
        <v/>
      </c>
      <c r="J145" s="19" t="n"/>
      <c r="K145" s="15">
        <f>IFERROR(I145/J145,"")</f>
        <v/>
      </c>
      <c r="L145" s="14" t="n"/>
      <c r="M145" s="10" t="n"/>
      <c r="N145" s="10" t="n"/>
    </row>
    <row r="146">
      <c r="A146" s="11">
        <f>IF(B146="","",ROW()-3)</f>
        <v/>
      </c>
      <c r="B146" s="12" t="n"/>
      <c r="C146" s="13" t="n"/>
      <c r="D146" s="10" t="n"/>
      <c r="E146" s="10" t="n"/>
      <c r="F146" s="14" t="n"/>
      <c r="G146" s="14" t="n"/>
      <c r="H146" s="10" t="n"/>
      <c r="I146" s="18">
        <f>IF(OR(F146="",G146=""),"",G146-F146)</f>
        <v/>
      </c>
      <c r="J146" s="19" t="n"/>
      <c r="K146" s="15">
        <f>IFERROR(I146/J146,"")</f>
        <v/>
      </c>
      <c r="L146" s="14" t="n"/>
      <c r="M146" s="10" t="n"/>
      <c r="N146" s="10" t="n"/>
    </row>
    <row r="147">
      <c r="A147" s="11">
        <f>IF(B147="","",ROW()-3)</f>
        <v/>
      </c>
      <c r="B147" s="12" t="n"/>
      <c r="C147" s="13" t="n"/>
      <c r="D147" s="10" t="n"/>
      <c r="E147" s="10" t="n"/>
      <c r="F147" s="14" t="n"/>
      <c r="G147" s="14" t="n"/>
      <c r="H147" s="10" t="n"/>
      <c r="I147" s="18">
        <f>IF(OR(F147="",G147=""),"",G147-F147)</f>
        <v/>
      </c>
      <c r="J147" s="19" t="n"/>
      <c r="K147" s="15">
        <f>IFERROR(I147/J147,"")</f>
        <v/>
      </c>
      <c r="L147" s="14" t="n"/>
      <c r="M147" s="10" t="n"/>
      <c r="N147" s="10" t="n"/>
    </row>
    <row r="148">
      <c r="A148" s="11">
        <f>IF(B148="","",ROW()-3)</f>
        <v/>
      </c>
      <c r="B148" s="12" t="n"/>
      <c r="C148" s="13" t="n"/>
      <c r="D148" s="10" t="n"/>
      <c r="E148" s="10" t="n"/>
      <c r="F148" s="14" t="n"/>
      <c r="G148" s="14" t="n"/>
      <c r="H148" s="10" t="n"/>
      <c r="I148" s="18">
        <f>IF(OR(F148="",G148=""),"",G148-F148)</f>
        <v/>
      </c>
      <c r="J148" s="19" t="n"/>
      <c r="K148" s="15">
        <f>IFERROR(I148/J148,"")</f>
        <v/>
      </c>
      <c r="L148" s="14" t="n"/>
      <c r="M148" s="10" t="n"/>
      <c r="N148" s="10" t="n"/>
    </row>
    <row r="149">
      <c r="A149" s="11">
        <f>IF(B149="","",ROW()-3)</f>
        <v/>
      </c>
      <c r="B149" s="12" t="n"/>
      <c r="C149" s="13" t="n"/>
      <c r="D149" s="10" t="n"/>
      <c r="E149" s="10" t="n"/>
      <c r="F149" s="14" t="n"/>
      <c r="G149" s="14" t="n"/>
      <c r="H149" s="10" t="n"/>
      <c r="I149" s="18">
        <f>IF(OR(F149="",G149=""),"",G149-F149)</f>
        <v/>
      </c>
      <c r="J149" s="19" t="n"/>
      <c r="K149" s="15">
        <f>IFERROR(I149/J149,"")</f>
        <v/>
      </c>
      <c r="L149" s="14" t="n"/>
      <c r="M149" s="10" t="n"/>
      <c r="N149" s="10" t="n"/>
    </row>
    <row r="150">
      <c r="A150" s="11">
        <f>IF(B150="","",ROW()-3)</f>
        <v/>
      </c>
      <c r="B150" s="12" t="n"/>
      <c r="C150" s="13" t="n"/>
      <c r="D150" s="10" t="n"/>
      <c r="E150" s="10" t="n"/>
      <c r="F150" s="14" t="n"/>
      <c r="G150" s="14" t="n"/>
      <c r="H150" s="10" t="n"/>
      <c r="I150" s="18">
        <f>IF(OR(F150="",G150=""),"",G150-F150)</f>
        <v/>
      </c>
      <c r="J150" s="19" t="n"/>
      <c r="K150" s="15">
        <f>IFERROR(I150/J150,"")</f>
        <v/>
      </c>
      <c r="L150" s="14" t="n"/>
      <c r="M150" s="10" t="n"/>
      <c r="N150" s="10" t="n"/>
    </row>
    <row r="151">
      <c r="A151" s="11">
        <f>IF(B151="","",ROW()-3)</f>
        <v/>
      </c>
      <c r="B151" s="12" t="n"/>
      <c r="C151" s="13" t="n"/>
      <c r="D151" s="10" t="n"/>
      <c r="E151" s="10" t="n"/>
      <c r="F151" s="14" t="n"/>
      <c r="G151" s="14" t="n"/>
      <c r="H151" s="10" t="n"/>
      <c r="I151" s="18">
        <f>IF(OR(F151="",G151=""),"",G151-F151)</f>
        <v/>
      </c>
      <c r="J151" s="19" t="n"/>
      <c r="K151" s="15">
        <f>IFERROR(I151/J151,"")</f>
        <v/>
      </c>
      <c r="L151" s="14" t="n"/>
      <c r="M151" s="10" t="n"/>
      <c r="N151" s="10" t="n"/>
    </row>
    <row r="152">
      <c r="A152" s="11">
        <f>IF(B152="","",ROW()-3)</f>
        <v/>
      </c>
      <c r="B152" s="12" t="n"/>
      <c r="C152" s="13" t="n"/>
      <c r="D152" s="10" t="n"/>
      <c r="E152" s="10" t="n"/>
      <c r="F152" s="14" t="n"/>
      <c r="G152" s="14" t="n"/>
      <c r="H152" s="10" t="n"/>
      <c r="I152" s="18">
        <f>IF(OR(F152="",G152=""),"",G152-F152)</f>
        <v/>
      </c>
      <c r="J152" s="19" t="n"/>
      <c r="K152" s="15">
        <f>IFERROR(I152/J152,"")</f>
        <v/>
      </c>
      <c r="L152" s="14" t="n"/>
      <c r="M152" s="10" t="n"/>
      <c r="N152" s="10" t="n"/>
    </row>
    <row r="153">
      <c r="A153" s="11">
        <f>IF(B153="","",ROW()-3)</f>
        <v/>
      </c>
      <c r="B153" s="12" t="n"/>
      <c r="C153" s="13" t="n"/>
      <c r="D153" s="10" t="n"/>
      <c r="E153" s="10" t="n"/>
      <c r="F153" s="14" t="n"/>
      <c r="G153" s="14" t="n"/>
      <c r="H153" s="10" t="n"/>
      <c r="I153" s="18">
        <f>IF(OR(F153="",G153=""),"",G153-F153)</f>
        <v/>
      </c>
      <c r="J153" s="19" t="n"/>
      <c r="K153" s="15">
        <f>IFERROR(I153/J153,"")</f>
        <v/>
      </c>
      <c r="L153" s="14" t="n"/>
      <c r="M153" s="10" t="n"/>
      <c r="N153" s="10" t="n"/>
    </row>
    <row r="154">
      <c r="A154" s="11">
        <f>IF(B154="","",ROW()-3)</f>
        <v/>
      </c>
      <c r="B154" s="12" t="n"/>
      <c r="C154" s="13" t="n"/>
      <c r="D154" s="10" t="n"/>
      <c r="E154" s="10" t="n"/>
      <c r="F154" s="14" t="n"/>
      <c r="G154" s="14" t="n"/>
      <c r="H154" s="10" t="n"/>
      <c r="I154" s="18">
        <f>IF(OR(F154="",G154=""),"",G154-F154)</f>
        <v/>
      </c>
      <c r="J154" s="19" t="n"/>
      <c r="K154" s="15">
        <f>IFERROR(I154/J154,"")</f>
        <v/>
      </c>
      <c r="L154" s="14" t="n"/>
      <c r="M154" s="10" t="n"/>
      <c r="N154" s="10" t="n"/>
    </row>
    <row r="155">
      <c r="A155" s="11">
        <f>IF(B155="","",ROW()-3)</f>
        <v/>
      </c>
      <c r="B155" s="12" t="n"/>
      <c r="C155" s="13" t="n"/>
      <c r="D155" s="10" t="n"/>
      <c r="E155" s="10" t="n"/>
      <c r="F155" s="14" t="n"/>
      <c r="G155" s="14" t="n"/>
      <c r="H155" s="10" t="n"/>
      <c r="I155" s="18">
        <f>IF(OR(F155="",G155=""),"",G155-F155)</f>
        <v/>
      </c>
      <c r="J155" s="19" t="n"/>
      <c r="K155" s="15">
        <f>IFERROR(I155/J155,"")</f>
        <v/>
      </c>
      <c r="L155" s="14" t="n"/>
      <c r="M155" s="10" t="n"/>
      <c r="N155" s="10" t="n"/>
    </row>
    <row r="156">
      <c r="A156" s="11">
        <f>IF(B156="","",ROW()-3)</f>
        <v/>
      </c>
      <c r="B156" s="12" t="n"/>
      <c r="C156" s="13" t="n"/>
      <c r="D156" s="10" t="n"/>
      <c r="E156" s="10" t="n"/>
      <c r="F156" s="14" t="n"/>
      <c r="G156" s="14" t="n"/>
      <c r="H156" s="10" t="n"/>
      <c r="I156" s="18">
        <f>IF(OR(F156="",G156=""),"",G156-F156)</f>
        <v/>
      </c>
      <c r="J156" s="19" t="n"/>
      <c r="K156" s="15">
        <f>IFERROR(I156/J156,"")</f>
        <v/>
      </c>
      <c r="L156" s="14" t="n"/>
      <c r="M156" s="10" t="n"/>
      <c r="N156" s="10" t="n"/>
    </row>
    <row r="157">
      <c r="A157" s="11">
        <f>IF(B157="","",ROW()-3)</f>
        <v/>
      </c>
      <c r="B157" s="12" t="n"/>
      <c r="C157" s="13" t="n"/>
      <c r="D157" s="10" t="n"/>
      <c r="E157" s="10" t="n"/>
      <c r="F157" s="14" t="n"/>
      <c r="G157" s="14" t="n"/>
      <c r="H157" s="10" t="n"/>
      <c r="I157" s="18">
        <f>IF(OR(F157="",G157=""),"",G157-F157)</f>
        <v/>
      </c>
      <c r="J157" s="19" t="n"/>
      <c r="K157" s="15">
        <f>IFERROR(I157/J157,"")</f>
        <v/>
      </c>
      <c r="L157" s="14" t="n"/>
      <c r="M157" s="10" t="n"/>
      <c r="N157" s="10" t="n"/>
    </row>
    <row r="158">
      <c r="A158" s="11">
        <f>IF(B158="","",ROW()-3)</f>
        <v/>
      </c>
      <c r="B158" s="12" t="n"/>
      <c r="C158" s="13" t="n"/>
      <c r="D158" s="10" t="n"/>
      <c r="E158" s="10" t="n"/>
      <c r="F158" s="14" t="n"/>
      <c r="G158" s="14" t="n"/>
      <c r="H158" s="10" t="n"/>
      <c r="I158" s="18">
        <f>IF(OR(F158="",G158=""),"",G158-F158)</f>
        <v/>
      </c>
      <c r="J158" s="19" t="n"/>
      <c r="K158" s="15">
        <f>IFERROR(I158/J158,"")</f>
        <v/>
      </c>
      <c r="L158" s="14" t="n"/>
      <c r="M158" s="10" t="n"/>
      <c r="N158" s="10" t="n"/>
    </row>
    <row r="159">
      <c r="A159" s="11">
        <f>IF(B159="","",ROW()-3)</f>
        <v/>
      </c>
      <c r="B159" s="12" t="n"/>
      <c r="C159" s="13" t="n"/>
      <c r="D159" s="10" t="n"/>
      <c r="E159" s="10" t="n"/>
      <c r="F159" s="14" t="n"/>
      <c r="G159" s="14" t="n"/>
      <c r="H159" s="10" t="n"/>
      <c r="I159" s="18">
        <f>IF(OR(F159="",G159=""),"",G159-F159)</f>
        <v/>
      </c>
      <c r="J159" s="19" t="n"/>
      <c r="K159" s="15">
        <f>IFERROR(I159/J159,"")</f>
        <v/>
      </c>
      <c r="L159" s="14" t="n"/>
      <c r="M159" s="10" t="n"/>
      <c r="N159" s="10" t="n"/>
    </row>
    <row r="160">
      <c r="A160" s="11">
        <f>IF(B160="","",ROW()-3)</f>
        <v/>
      </c>
      <c r="B160" s="12" t="n"/>
      <c r="C160" s="13" t="n"/>
      <c r="D160" s="10" t="n"/>
      <c r="E160" s="10" t="n"/>
      <c r="F160" s="14" t="n"/>
      <c r="G160" s="14" t="n"/>
      <c r="H160" s="10" t="n"/>
      <c r="I160" s="18">
        <f>IF(OR(F160="",G160=""),"",G160-F160)</f>
        <v/>
      </c>
      <c r="J160" s="19" t="n"/>
      <c r="K160" s="15">
        <f>IFERROR(I160/J160,"")</f>
        <v/>
      </c>
      <c r="L160" s="14" t="n"/>
      <c r="M160" s="10" t="n"/>
      <c r="N160" s="10" t="n"/>
    </row>
    <row r="161">
      <c r="A161" s="11">
        <f>IF(B161="","",ROW()-3)</f>
        <v/>
      </c>
      <c r="B161" s="12" t="n"/>
      <c r="C161" s="13" t="n"/>
      <c r="D161" s="10" t="n"/>
      <c r="E161" s="10" t="n"/>
      <c r="F161" s="14" t="n"/>
      <c r="G161" s="14" t="n"/>
      <c r="H161" s="10" t="n"/>
      <c r="I161" s="18">
        <f>IF(OR(F161="",G161=""),"",G161-F161)</f>
        <v/>
      </c>
      <c r="J161" s="19" t="n"/>
      <c r="K161" s="15">
        <f>IFERROR(I161/J161,"")</f>
        <v/>
      </c>
      <c r="L161" s="14" t="n"/>
      <c r="M161" s="10" t="n"/>
      <c r="N161" s="10" t="n"/>
    </row>
    <row r="162">
      <c r="A162" s="11">
        <f>IF(B162="","",ROW()-3)</f>
        <v/>
      </c>
      <c r="B162" s="12" t="n"/>
      <c r="C162" s="13" t="n"/>
      <c r="D162" s="10" t="n"/>
      <c r="E162" s="10" t="n"/>
      <c r="F162" s="14" t="n"/>
      <c r="G162" s="14" t="n"/>
      <c r="H162" s="10" t="n"/>
      <c r="I162" s="18">
        <f>IF(OR(F162="",G162=""),"",G162-F162)</f>
        <v/>
      </c>
      <c r="J162" s="19" t="n"/>
      <c r="K162" s="15">
        <f>IFERROR(I162/J162,"")</f>
        <v/>
      </c>
      <c r="L162" s="14" t="n"/>
      <c r="M162" s="10" t="n"/>
      <c r="N162" s="10" t="n"/>
    </row>
    <row r="163">
      <c r="A163" s="11">
        <f>IF(B163="","",ROW()-3)</f>
        <v/>
      </c>
      <c r="B163" s="12" t="n"/>
      <c r="C163" s="13" t="n"/>
      <c r="D163" s="10" t="n"/>
      <c r="E163" s="10" t="n"/>
      <c r="F163" s="14" t="n"/>
      <c r="G163" s="14" t="n"/>
      <c r="H163" s="10" t="n"/>
      <c r="I163" s="18">
        <f>IF(OR(F163="",G163=""),"",G163-F163)</f>
        <v/>
      </c>
      <c r="J163" s="19" t="n"/>
      <c r="K163" s="15">
        <f>IFERROR(I163/J163,"")</f>
        <v/>
      </c>
      <c r="L163" s="14" t="n"/>
      <c r="M163" s="10" t="n"/>
      <c r="N163" s="10" t="n"/>
    </row>
    <row r="164">
      <c r="A164" s="11">
        <f>IF(B164="","",ROW()-3)</f>
        <v/>
      </c>
      <c r="B164" s="12" t="n"/>
      <c r="C164" s="13" t="n"/>
      <c r="D164" s="10" t="n"/>
      <c r="E164" s="10" t="n"/>
      <c r="F164" s="14" t="n"/>
      <c r="G164" s="14" t="n"/>
      <c r="H164" s="10" t="n"/>
      <c r="I164" s="18">
        <f>IF(OR(F164="",G164=""),"",G164-F164)</f>
        <v/>
      </c>
      <c r="J164" s="19" t="n"/>
      <c r="K164" s="15">
        <f>IFERROR(I164/J164,"")</f>
        <v/>
      </c>
      <c r="L164" s="14" t="n"/>
      <c r="M164" s="10" t="n"/>
      <c r="N164" s="10" t="n"/>
    </row>
    <row r="165">
      <c r="A165" s="11">
        <f>IF(B165="","",ROW()-3)</f>
        <v/>
      </c>
      <c r="B165" s="12" t="n"/>
      <c r="C165" s="13" t="n"/>
      <c r="D165" s="10" t="n"/>
      <c r="E165" s="10" t="n"/>
      <c r="F165" s="14" t="n"/>
      <c r="G165" s="14" t="n"/>
      <c r="H165" s="10" t="n"/>
      <c r="I165" s="18">
        <f>IF(OR(F165="",G165=""),"",G165-F165)</f>
        <v/>
      </c>
      <c r="J165" s="19" t="n"/>
      <c r="K165" s="15">
        <f>IFERROR(I165/J165,"")</f>
        <v/>
      </c>
      <c r="L165" s="14" t="n"/>
      <c r="M165" s="10" t="n"/>
      <c r="N165" s="10" t="n"/>
    </row>
    <row r="166">
      <c r="A166" s="11">
        <f>IF(B166="","",ROW()-3)</f>
        <v/>
      </c>
      <c r="B166" s="12" t="n"/>
      <c r="C166" s="13" t="n"/>
      <c r="D166" s="10" t="n"/>
      <c r="E166" s="10" t="n"/>
      <c r="F166" s="14" t="n"/>
      <c r="G166" s="14" t="n"/>
      <c r="H166" s="10" t="n"/>
      <c r="I166" s="18">
        <f>IF(OR(F166="",G166=""),"",G166-F166)</f>
        <v/>
      </c>
      <c r="J166" s="19" t="n"/>
      <c r="K166" s="15">
        <f>IFERROR(I166/J166,"")</f>
        <v/>
      </c>
      <c r="L166" s="14" t="n"/>
      <c r="M166" s="10" t="n"/>
      <c r="N166" s="10" t="n"/>
    </row>
    <row r="167">
      <c r="A167" s="11">
        <f>IF(B167="","",ROW()-3)</f>
        <v/>
      </c>
      <c r="B167" s="12" t="n"/>
      <c r="C167" s="13" t="n"/>
      <c r="D167" s="10" t="n"/>
      <c r="E167" s="10" t="n"/>
      <c r="F167" s="14" t="n"/>
      <c r="G167" s="14" t="n"/>
      <c r="H167" s="10" t="n"/>
      <c r="I167" s="18">
        <f>IF(OR(F167="",G167=""),"",G167-F167)</f>
        <v/>
      </c>
      <c r="J167" s="19" t="n"/>
      <c r="K167" s="15">
        <f>IFERROR(I167/J167,"")</f>
        <v/>
      </c>
      <c r="L167" s="14" t="n"/>
      <c r="M167" s="10" t="n"/>
      <c r="N167" s="10" t="n"/>
    </row>
    <row r="168">
      <c r="A168" s="11">
        <f>IF(B168="","",ROW()-3)</f>
        <v/>
      </c>
      <c r="B168" s="12" t="n"/>
      <c r="C168" s="13" t="n"/>
      <c r="D168" s="10" t="n"/>
      <c r="E168" s="10" t="n"/>
      <c r="F168" s="14" t="n"/>
      <c r="G168" s="14" t="n"/>
      <c r="H168" s="10" t="n"/>
      <c r="I168" s="18">
        <f>IF(OR(F168="",G168=""),"",G168-F168)</f>
        <v/>
      </c>
      <c r="J168" s="19" t="n"/>
      <c r="K168" s="15">
        <f>IFERROR(I168/J168,"")</f>
        <v/>
      </c>
      <c r="L168" s="14" t="n"/>
      <c r="M168" s="10" t="n"/>
      <c r="N168" s="10" t="n"/>
    </row>
    <row r="169">
      <c r="A169" s="11">
        <f>IF(B169="","",ROW()-3)</f>
        <v/>
      </c>
      <c r="B169" s="12" t="n"/>
      <c r="C169" s="13" t="n"/>
      <c r="D169" s="10" t="n"/>
      <c r="E169" s="10" t="n"/>
      <c r="F169" s="14" t="n"/>
      <c r="G169" s="14" t="n"/>
      <c r="H169" s="10" t="n"/>
      <c r="I169" s="18">
        <f>IF(OR(F169="",G169=""),"",G169-F169)</f>
        <v/>
      </c>
      <c r="J169" s="19" t="n"/>
      <c r="K169" s="15">
        <f>IFERROR(I169/J169,"")</f>
        <v/>
      </c>
      <c r="L169" s="14" t="n"/>
      <c r="M169" s="10" t="n"/>
      <c r="N169" s="10" t="n"/>
    </row>
    <row r="170">
      <c r="A170" s="11">
        <f>IF(B170="","",ROW()-3)</f>
        <v/>
      </c>
      <c r="B170" s="12" t="n"/>
      <c r="C170" s="13" t="n"/>
      <c r="D170" s="10" t="n"/>
      <c r="E170" s="10" t="n"/>
      <c r="F170" s="14" t="n"/>
      <c r="G170" s="14" t="n"/>
      <c r="H170" s="10" t="n"/>
      <c r="I170" s="18">
        <f>IF(OR(F170="",G170=""),"",G170-F170)</f>
        <v/>
      </c>
      <c r="J170" s="19" t="n"/>
      <c r="K170" s="15">
        <f>IFERROR(I170/J170,"")</f>
        <v/>
      </c>
      <c r="L170" s="14" t="n"/>
      <c r="M170" s="10" t="n"/>
      <c r="N170" s="10" t="n"/>
    </row>
    <row r="171">
      <c r="A171" s="11">
        <f>IF(B171="","",ROW()-3)</f>
        <v/>
      </c>
      <c r="B171" s="12" t="n"/>
      <c r="C171" s="13" t="n"/>
      <c r="D171" s="10" t="n"/>
      <c r="E171" s="10" t="n"/>
      <c r="F171" s="14" t="n"/>
      <c r="G171" s="14" t="n"/>
      <c r="H171" s="10" t="n"/>
      <c r="I171" s="18">
        <f>IF(OR(F171="",G171=""),"",G171-F171)</f>
        <v/>
      </c>
      <c r="J171" s="19" t="n"/>
      <c r="K171" s="15">
        <f>IFERROR(I171/J171,"")</f>
        <v/>
      </c>
      <c r="L171" s="14" t="n"/>
      <c r="M171" s="10" t="n"/>
      <c r="N171" s="10" t="n"/>
    </row>
    <row r="172">
      <c r="A172" s="11">
        <f>IF(B172="","",ROW()-3)</f>
        <v/>
      </c>
      <c r="B172" s="12" t="n"/>
      <c r="C172" s="13" t="n"/>
      <c r="D172" s="10" t="n"/>
      <c r="E172" s="10" t="n"/>
      <c r="F172" s="14" t="n"/>
      <c r="G172" s="14" t="n"/>
      <c r="H172" s="10" t="n"/>
      <c r="I172" s="18">
        <f>IF(OR(F172="",G172=""),"",G172-F172)</f>
        <v/>
      </c>
      <c r="J172" s="19" t="n"/>
      <c r="K172" s="15">
        <f>IFERROR(I172/J172,"")</f>
        <v/>
      </c>
      <c r="L172" s="14" t="n"/>
      <c r="M172" s="10" t="n"/>
      <c r="N172" s="10" t="n"/>
    </row>
    <row r="173">
      <c r="A173" s="11">
        <f>IF(B173="","",ROW()-3)</f>
        <v/>
      </c>
      <c r="B173" s="12" t="n"/>
      <c r="C173" s="13" t="n"/>
      <c r="D173" s="10" t="n"/>
      <c r="E173" s="10" t="n"/>
      <c r="F173" s="14" t="n"/>
      <c r="G173" s="14" t="n"/>
      <c r="H173" s="10" t="n"/>
      <c r="I173" s="18">
        <f>IF(OR(F173="",G173=""),"",G173-F173)</f>
        <v/>
      </c>
      <c r="J173" s="19" t="n"/>
      <c r="K173" s="15">
        <f>IFERROR(I173/J173,"")</f>
        <v/>
      </c>
      <c r="L173" s="14" t="n"/>
      <c r="M173" s="10" t="n"/>
      <c r="N173" s="10" t="n"/>
    </row>
    <row r="174">
      <c r="A174" s="11">
        <f>IF(B174="","",ROW()-3)</f>
        <v/>
      </c>
      <c r="B174" s="12" t="n"/>
      <c r="C174" s="13" t="n"/>
      <c r="D174" s="10" t="n"/>
      <c r="E174" s="10" t="n"/>
      <c r="F174" s="14" t="n"/>
      <c r="G174" s="14" t="n"/>
      <c r="H174" s="10" t="n"/>
      <c r="I174" s="18">
        <f>IF(OR(F174="",G174=""),"",G174-F174)</f>
        <v/>
      </c>
      <c r="J174" s="19" t="n"/>
      <c r="K174" s="15">
        <f>IFERROR(I174/J174,"")</f>
        <v/>
      </c>
      <c r="L174" s="14" t="n"/>
      <c r="M174" s="10" t="n"/>
      <c r="N174" s="10" t="n"/>
    </row>
    <row r="175">
      <c r="A175" s="11">
        <f>IF(B175="","",ROW()-3)</f>
        <v/>
      </c>
      <c r="B175" s="12" t="n"/>
      <c r="C175" s="13" t="n"/>
      <c r="D175" s="10" t="n"/>
      <c r="E175" s="10" t="n"/>
      <c r="F175" s="14" t="n"/>
      <c r="G175" s="14" t="n"/>
      <c r="H175" s="10" t="n"/>
      <c r="I175" s="18">
        <f>IF(OR(F175="",G175=""),"",G175-F175)</f>
        <v/>
      </c>
      <c r="J175" s="19" t="n"/>
      <c r="K175" s="15">
        <f>IFERROR(I175/J175,"")</f>
        <v/>
      </c>
      <c r="L175" s="14" t="n"/>
      <c r="M175" s="10" t="n"/>
      <c r="N175" s="10" t="n"/>
    </row>
    <row r="176">
      <c r="A176" s="11">
        <f>IF(B176="","",ROW()-3)</f>
        <v/>
      </c>
      <c r="B176" s="12" t="n"/>
      <c r="C176" s="13" t="n"/>
      <c r="D176" s="10" t="n"/>
      <c r="E176" s="10" t="n"/>
      <c r="F176" s="14" t="n"/>
      <c r="G176" s="14" t="n"/>
      <c r="H176" s="10" t="n"/>
      <c r="I176" s="18">
        <f>IF(OR(F176="",G176=""),"",G176-F176)</f>
        <v/>
      </c>
      <c r="J176" s="19" t="n"/>
      <c r="K176" s="15">
        <f>IFERROR(I176/J176,"")</f>
        <v/>
      </c>
      <c r="L176" s="14" t="n"/>
      <c r="M176" s="10" t="n"/>
      <c r="N176" s="10" t="n"/>
    </row>
    <row r="177">
      <c r="A177" s="11">
        <f>IF(B177="","",ROW()-3)</f>
        <v/>
      </c>
      <c r="B177" s="12" t="n"/>
      <c r="C177" s="13" t="n"/>
      <c r="D177" s="10" t="n"/>
      <c r="E177" s="10" t="n"/>
      <c r="F177" s="14" t="n"/>
      <c r="G177" s="14" t="n"/>
      <c r="H177" s="10" t="n"/>
      <c r="I177" s="18">
        <f>IF(OR(F177="",G177=""),"",G177-F177)</f>
        <v/>
      </c>
      <c r="J177" s="19" t="n"/>
      <c r="K177" s="15">
        <f>IFERROR(I177/J177,"")</f>
        <v/>
      </c>
      <c r="L177" s="14" t="n"/>
      <c r="M177" s="10" t="n"/>
      <c r="N177" s="10" t="n"/>
    </row>
    <row r="178">
      <c r="A178" s="11">
        <f>IF(B178="","",ROW()-3)</f>
        <v/>
      </c>
      <c r="B178" s="12" t="n"/>
      <c r="C178" s="13" t="n"/>
      <c r="D178" s="10" t="n"/>
      <c r="E178" s="10" t="n"/>
      <c r="F178" s="14" t="n"/>
      <c r="G178" s="14" t="n"/>
      <c r="H178" s="10" t="n"/>
      <c r="I178" s="18">
        <f>IF(OR(F178="",G178=""),"",G178-F178)</f>
        <v/>
      </c>
      <c r="J178" s="19" t="n"/>
      <c r="K178" s="15">
        <f>IFERROR(I178/J178,"")</f>
        <v/>
      </c>
      <c r="L178" s="14" t="n"/>
      <c r="M178" s="10" t="n"/>
      <c r="N178" s="10" t="n"/>
    </row>
    <row r="179">
      <c r="A179" s="11">
        <f>IF(B179="","",ROW()-3)</f>
        <v/>
      </c>
      <c r="B179" s="12" t="n"/>
      <c r="C179" s="13" t="n"/>
      <c r="D179" s="10" t="n"/>
      <c r="E179" s="10" t="n"/>
      <c r="F179" s="14" t="n"/>
      <c r="G179" s="14" t="n"/>
      <c r="H179" s="10" t="n"/>
      <c r="I179" s="18">
        <f>IF(OR(F179="",G179=""),"",G179-F179)</f>
        <v/>
      </c>
      <c r="J179" s="19" t="n"/>
      <c r="K179" s="15">
        <f>IFERROR(I179/J179,"")</f>
        <v/>
      </c>
      <c r="L179" s="14" t="n"/>
      <c r="M179" s="10" t="n"/>
      <c r="N179" s="10" t="n"/>
    </row>
    <row r="180">
      <c r="A180" s="11">
        <f>IF(B180="","",ROW()-3)</f>
        <v/>
      </c>
      <c r="B180" s="12" t="n"/>
      <c r="C180" s="13" t="n"/>
      <c r="D180" s="10" t="n"/>
      <c r="E180" s="10" t="n"/>
      <c r="F180" s="14" t="n"/>
      <c r="G180" s="14" t="n"/>
      <c r="H180" s="10" t="n"/>
      <c r="I180" s="18">
        <f>IF(OR(F180="",G180=""),"",G180-F180)</f>
        <v/>
      </c>
      <c r="J180" s="19" t="n"/>
      <c r="K180" s="15">
        <f>IFERROR(I180/J180,"")</f>
        <v/>
      </c>
      <c r="L180" s="14" t="n"/>
      <c r="M180" s="10" t="n"/>
      <c r="N180" s="10" t="n"/>
    </row>
    <row r="181">
      <c r="A181" s="11">
        <f>IF(B181="","",ROW()-3)</f>
        <v/>
      </c>
      <c r="B181" s="12" t="n"/>
      <c r="C181" s="13" t="n"/>
      <c r="D181" s="10" t="n"/>
      <c r="E181" s="10" t="n"/>
      <c r="F181" s="14" t="n"/>
      <c r="G181" s="14" t="n"/>
      <c r="H181" s="10" t="n"/>
      <c r="I181" s="18">
        <f>IF(OR(F181="",G181=""),"",G181-F181)</f>
        <v/>
      </c>
      <c r="J181" s="19" t="n"/>
      <c r="K181" s="15">
        <f>IFERROR(I181/J181,"")</f>
        <v/>
      </c>
      <c r="L181" s="14" t="n"/>
      <c r="M181" s="10" t="n"/>
      <c r="N181" s="10" t="n"/>
    </row>
    <row r="182">
      <c r="A182" s="11">
        <f>IF(B182="","",ROW()-3)</f>
        <v/>
      </c>
      <c r="B182" s="12" t="n"/>
      <c r="C182" s="13" t="n"/>
      <c r="D182" s="10" t="n"/>
      <c r="E182" s="10" t="n"/>
      <c r="F182" s="14" t="n"/>
      <c r="G182" s="14" t="n"/>
      <c r="H182" s="10" t="n"/>
      <c r="I182" s="18">
        <f>IF(OR(F182="",G182=""),"",G182-F182)</f>
        <v/>
      </c>
      <c r="J182" s="19" t="n"/>
      <c r="K182" s="15">
        <f>IFERROR(I182/J182,"")</f>
        <v/>
      </c>
      <c r="L182" s="14" t="n"/>
      <c r="M182" s="10" t="n"/>
      <c r="N182" s="10" t="n"/>
    </row>
    <row r="183">
      <c r="A183" s="11">
        <f>IF(B183="","",ROW()-3)</f>
        <v/>
      </c>
      <c r="B183" s="12" t="n"/>
      <c r="C183" s="13" t="n"/>
      <c r="D183" s="10" t="n"/>
      <c r="E183" s="10" t="n"/>
      <c r="F183" s="14" t="n"/>
      <c r="G183" s="14" t="n"/>
      <c r="H183" s="10" t="n"/>
      <c r="I183" s="18">
        <f>IF(OR(F183="",G183=""),"",G183-F183)</f>
        <v/>
      </c>
      <c r="J183" s="19" t="n"/>
      <c r="K183" s="15">
        <f>IFERROR(I183/J183,"")</f>
        <v/>
      </c>
      <c r="L183" s="14" t="n"/>
      <c r="M183" s="10" t="n"/>
      <c r="N183" s="10" t="n"/>
    </row>
    <row r="184">
      <c r="A184" s="11">
        <f>IF(B184="","",ROW()-3)</f>
        <v/>
      </c>
      <c r="B184" s="12" t="n"/>
      <c r="C184" s="13" t="n"/>
      <c r="D184" s="10" t="n"/>
      <c r="E184" s="10" t="n"/>
      <c r="F184" s="14" t="n"/>
      <c r="G184" s="14" t="n"/>
      <c r="H184" s="10" t="n"/>
      <c r="I184" s="18">
        <f>IF(OR(F184="",G184=""),"",G184-F184)</f>
        <v/>
      </c>
      <c r="J184" s="19" t="n"/>
      <c r="K184" s="15">
        <f>IFERROR(I184/J184,"")</f>
        <v/>
      </c>
      <c r="L184" s="14" t="n"/>
      <c r="M184" s="10" t="n"/>
      <c r="N184" s="10" t="n"/>
    </row>
    <row r="185">
      <c r="A185" s="11">
        <f>IF(B185="","",ROW()-3)</f>
        <v/>
      </c>
      <c r="B185" s="12" t="n"/>
      <c r="C185" s="13" t="n"/>
      <c r="D185" s="10" t="n"/>
      <c r="E185" s="10" t="n"/>
      <c r="F185" s="14" t="n"/>
      <c r="G185" s="14" t="n"/>
      <c r="H185" s="10" t="n"/>
      <c r="I185" s="18">
        <f>IF(OR(F185="",G185=""),"",G185-F185)</f>
        <v/>
      </c>
      <c r="J185" s="19" t="n"/>
      <c r="K185" s="15">
        <f>IFERROR(I185/J185,"")</f>
        <v/>
      </c>
      <c r="L185" s="14" t="n"/>
      <c r="M185" s="10" t="n"/>
      <c r="N185" s="10" t="n"/>
    </row>
    <row r="186">
      <c r="A186" s="11">
        <f>IF(B186="","",ROW()-3)</f>
        <v/>
      </c>
      <c r="B186" s="12" t="n"/>
      <c r="C186" s="13" t="n"/>
      <c r="D186" s="10" t="n"/>
      <c r="E186" s="10" t="n"/>
      <c r="F186" s="14" t="n"/>
      <c r="G186" s="14" t="n"/>
      <c r="H186" s="10" t="n"/>
      <c r="I186" s="18">
        <f>IF(OR(F186="",G186=""),"",G186-F186)</f>
        <v/>
      </c>
      <c r="J186" s="19" t="n"/>
      <c r="K186" s="15">
        <f>IFERROR(I186/J186,"")</f>
        <v/>
      </c>
      <c r="L186" s="14" t="n"/>
      <c r="M186" s="10" t="n"/>
      <c r="N186" s="10" t="n"/>
    </row>
    <row r="187">
      <c r="A187" s="11">
        <f>IF(B187="","",ROW()-3)</f>
        <v/>
      </c>
      <c r="B187" s="12" t="n"/>
      <c r="C187" s="13" t="n"/>
      <c r="D187" s="10" t="n"/>
      <c r="E187" s="10" t="n"/>
      <c r="F187" s="14" t="n"/>
      <c r="G187" s="14" t="n"/>
      <c r="H187" s="10" t="n"/>
      <c r="I187" s="18">
        <f>IF(OR(F187="",G187=""),"",G187-F187)</f>
        <v/>
      </c>
      <c r="J187" s="19" t="n"/>
      <c r="K187" s="15">
        <f>IFERROR(I187/J187,"")</f>
        <v/>
      </c>
      <c r="L187" s="14" t="n"/>
      <c r="M187" s="10" t="n"/>
      <c r="N187" s="10" t="n"/>
    </row>
    <row r="188">
      <c r="A188" s="11">
        <f>IF(B188="","",ROW()-3)</f>
        <v/>
      </c>
      <c r="B188" s="12" t="n"/>
      <c r="C188" s="13" t="n"/>
      <c r="D188" s="10" t="n"/>
      <c r="E188" s="10" t="n"/>
      <c r="F188" s="14" t="n"/>
      <c r="G188" s="14" t="n"/>
      <c r="H188" s="10" t="n"/>
      <c r="I188" s="18">
        <f>IF(OR(F188="",G188=""),"",G188-F188)</f>
        <v/>
      </c>
      <c r="J188" s="19" t="n"/>
      <c r="K188" s="15">
        <f>IFERROR(I188/J188,"")</f>
        <v/>
      </c>
      <c r="L188" s="14" t="n"/>
      <c r="M188" s="10" t="n"/>
      <c r="N188" s="10" t="n"/>
    </row>
    <row r="189">
      <c r="A189" s="11">
        <f>IF(B189="","",ROW()-3)</f>
        <v/>
      </c>
      <c r="B189" s="12" t="n"/>
      <c r="C189" s="13" t="n"/>
      <c r="D189" s="10" t="n"/>
      <c r="E189" s="10" t="n"/>
      <c r="F189" s="14" t="n"/>
      <c r="G189" s="14" t="n"/>
      <c r="H189" s="10" t="n"/>
      <c r="I189" s="18">
        <f>IF(OR(F189="",G189=""),"",G189-F189)</f>
        <v/>
      </c>
      <c r="J189" s="19" t="n"/>
      <c r="K189" s="15">
        <f>IFERROR(I189/J189,"")</f>
        <v/>
      </c>
      <c r="L189" s="14" t="n"/>
      <c r="M189" s="10" t="n"/>
      <c r="N189" s="10" t="n"/>
    </row>
    <row r="190">
      <c r="A190" s="11">
        <f>IF(B190="","",ROW()-3)</f>
        <v/>
      </c>
      <c r="B190" s="12" t="n"/>
      <c r="C190" s="13" t="n"/>
      <c r="D190" s="10" t="n"/>
      <c r="E190" s="10" t="n"/>
      <c r="F190" s="14" t="n"/>
      <c r="G190" s="14" t="n"/>
      <c r="H190" s="10" t="n"/>
      <c r="I190" s="18">
        <f>IF(OR(F190="",G190=""),"",G190-F190)</f>
        <v/>
      </c>
      <c r="J190" s="19" t="n"/>
      <c r="K190" s="15">
        <f>IFERROR(I190/J190,"")</f>
        <v/>
      </c>
      <c r="L190" s="14" t="n"/>
      <c r="M190" s="10" t="n"/>
      <c r="N190" s="10" t="n"/>
    </row>
    <row r="191">
      <c r="A191" s="11">
        <f>IF(B191="","",ROW()-3)</f>
        <v/>
      </c>
      <c r="B191" s="12" t="n"/>
      <c r="C191" s="13" t="n"/>
      <c r="D191" s="10" t="n"/>
      <c r="E191" s="10" t="n"/>
      <c r="F191" s="14" t="n"/>
      <c r="G191" s="14" t="n"/>
      <c r="H191" s="10" t="n"/>
      <c r="I191" s="18">
        <f>IF(OR(F191="",G191=""),"",G191-F191)</f>
        <v/>
      </c>
      <c r="J191" s="19" t="n"/>
      <c r="K191" s="15">
        <f>IFERROR(I191/J191,"")</f>
        <v/>
      </c>
      <c r="L191" s="14" t="n"/>
      <c r="M191" s="10" t="n"/>
      <c r="N191" s="10" t="n"/>
    </row>
    <row r="192">
      <c r="A192" s="11">
        <f>IF(B192="","",ROW()-3)</f>
        <v/>
      </c>
      <c r="B192" s="12" t="n"/>
      <c r="C192" s="13" t="n"/>
      <c r="D192" s="10" t="n"/>
      <c r="E192" s="10" t="n"/>
      <c r="F192" s="14" t="n"/>
      <c r="G192" s="14" t="n"/>
      <c r="H192" s="10" t="n"/>
      <c r="I192" s="18">
        <f>IF(OR(F192="",G192=""),"",G192-F192)</f>
        <v/>
      </c>
      <c r="J192" s="19" t="n"/>
      <c r="K192" s="15">
        <f>IFERROR(I192/J192,"")</f>
        <v/>
      </c>
      <c r="L192" s="14" t="n"/>
      <c r="M192" s="10" t="n"/>
      <c r="N192" s="10" t="n"/>
    </row>
    <row r="193">
      <c r="A193" s="11">
        <f>IF(B193="","",ROW()-3)</f>
        <v/>
      </c>
      <c r="B193" s="12" t="n"/>
      <c r="C193" s="13" t="n"/>
      <c r="D193" s="10" t="n"/>
      <c r="E193" s="10" t="n"/>
      <c r="F193" s="14" t="n"/>
      <c r="G193" s="14" t="n"/>
      <c r="H193" s="10" t="n"/>
      <c r="I193" s="18">
        <f>IF(OR(F193="",G193=""),"",G193-F193)</f>
        <v/>
      </c>
      <c r="J193" s="19" t="n"/>
      <c r="K193" s="15">
        <f>IFERROR(I193/J193,"")</f>
        <v/>
      </c>
      <c r="L193" s="14" t="n"/>
      <c r="M193" s="10" t="n"/>
      <c r="N193" s="10" t="n"/>
    </row>
    <row r="194">
      <c r="A194" s="11">
        <f>IF(B194="","",ROW()-3)</f>
        <v/>
      </c>
      <c r="B194" s="12" t="n"/>
      <c r="C194" s="13" t="n"/>
      <c r="D194" s="10" t="n"/>
      <c r="E194" s="10" t="n"/>
      <c r="F194" s="14" t="n"/>
      <c r="G194" s="14" t="n"/>
      <c r="H194" s="10" t="n"/>
      <c r="I194" s="18">
        <f>IF(OR(F194="",G194=""),"",G194-F194)</f>
        <v/>
      </c>
      <c r="J194" s="19" t="n"/>
      <c r="K194" s="15">
        <f>IFERROR(I194/J194,"")</f>
        <v/>
      </c>
      <c r="L194" s="14" t="n"/>
      <c r="M194" s="10" t="n"/>
      <c r="N194" s="10" t="n"/>
    </row>
    <row r="195">
      <c r="A195" s="11">
        <f>IF(B195="","",ROW()-3)</f>
        <v/>
      </c>
      <c r="B195" s="12" t="n"/>
      <c r="C195" s="13" t="n"/>
      <c r="D195" s="10" t="n"/>
      <c r="E195" s="10" t="n"/>
      <c r="F195" s="14" t="n"/>
      <c r="G195" s="14" t="n"/>
      <c r="H195" s="10" t="n"/>
      <c r="I195" s="18">
        <f>IF(OR(F195="",G195=""),"",G195-F195)</f>
        <v/>
      </c>
      <c r="J195" s="19" t="n"/>
      <c r="K195" s="15">
        <f>IFERROR(I195/J195,"")</f>
        <v/>
      </c>
      <c r="L195" s="14" t="n"/>
      <c r="M195" s="10" t="n"/>
      <c r="N195" s="10" t="n"/>
    </row>
    <row r="196">
      <c r="A196" s="11">
        <f>IF(B196="","",ROW()-3)</f>
        <v/>
      </c>
      <c r="B196" s="12" t="n"/>
      <c r="C196" s="13" t="n"/>
      <c r="D196" s="10" t="n"/>
      <c r="E196" s="10" t="n"/>
      <c r="F196" s="14" t="n"/>
      <c r="G196" s="14" t="n"/>
      <c r="H196" s="10" t="n"/>
      <c r="I196" s="18">
        <f>IF(OR(F196="",G196=""),"",G196-F196)</f>
        <v/>
      </c>
      <c r="J196" s="19" t="n"/>
      <c r="K196" s="15">
        <f>IFERROR(I196/J196,"")</f>
        <v/>
      </c>
      <c r="L196" s="14" t="n"/>
      <c r="M196" s="10" t="n"/>
      <c r="N196" s="10" t="n"/>
    </row>
    <row r="197">
      <c r="A197" s="11">
        <f>IF(B197="","",ROW()-3)</f>
        <v/>
      </c>
      <c r="B197" s="12" t="n"/>
      <c r="C197" s="13" t="n"/>
      <c r="D197" s="10" t="n"/>
      <c r="E197" s="10" t="n"/>
      <c r="F197" s="14" t="n"/>
      <c r="G197" s="14" t="n"/>
      <c r="H197" s="10" t="n"/>
      <c r="I197" s="18">
        <f>IF(OR(F197="",G197=""),"",G197-F197)</f>
        <v/>
      </c>
      <c r="J197" s="19" t="n"/>
      <c r="K197" s="15">
        <f>IFERROR(I197/J197,"")</f>
        <v/>
      </c>
      <c r="L197" s="14" t="n"/>
      <c r="M197" s="10" t="n"/>
      <c r="N197" s="10" t="n"/>
    </row>
    <row r="198">
      <c r="A198" s="11">
        <f>IF(B198="","",ROW()-3)</f>
        <v/>
      </c>
      <c r="B198" s="12" t="n"/>
      <c r="C198" s="13" t="n"/>
      <c r="D198" s="10" t="n"/>
      <c r="E198" s="10" t="n"/>
      <c r="F198" s="14" t="n"/>
      <c r="G198" s="14" t="n"/>
      <c r="H198" s="10" t="n"/>
      <c r="I198" s="18">
        <f>IF(OR(F198="",G198=""),"",G198-F198)</f>
        <v/>
      </c>
      <c r="J198" s="19" t="n"/>
      <c r="K198" s="15">
        <f>IFERROR(I198/J198,"")</f>
        <v/>
      </c>
      <c r="L198" s="14" t="n"/>
      <c r="M198" s="10" t="n"/>
      <c r="N198" s="10" t="n"/>
    </row>
    <row r="199">
      <c r="A199" s="11">
        <f>IF(B199="","",ROW()-3)</f>
        <v/>
      </c>
      <c r="B199" s="12" t="n"/>
      <c r="C199" s="13" t="n"/>
      <c r="D199" s="10" t="n"/>
      <c r="E199" s="10" t="n"/>
      <c r="F199" s="14" t="n"/>
      <c r="G199" s="14" t="n"/>
      <c r="H199" s="10" t="n"/>
      <c r="I199" s="18">
        <f>IF(OR(F199="",G199=""),"",G199-F199)</f>
        <v/>
      </c>
      <c r="J199" s="19" t="n"/>
      <c r="K199" s="15">
        <f>IFERROR(I199/J199,"")</f>
        <v/>
      </c>
      <c r="L199" s="14" t="n"/>
      <c r="M199" s="10" t="n"/>
      <c r="N199" s="10" t="n"/>
    </row>
    <row r="200">
      <c r="A200" s="11">
        <f>IF(B200="","",ROW()-3)</f>
        <v/>
      </c>
      <c r="B200" s="12" t="n"/>
      <c r="C200" s="13" t="n"/>
      <c r="D200" s="10" t="n"/>
      <c r="E200" s="10" t="n"/>
      <c r="F200" s="14" t="n"/>
      <c r="G200" s="14" t="n"/>
      <c r="H200" s="10" t="n"/>
      <c r="I200" s="18">
        <f>IF(OR(F200="",G200=""),"",G200-F200)</f>
        <v/>
      </c>
      <c r="J200" s="19" t="n"/>
      <c r="K200" s="15">
        <f>IFERROR(I200/J200,"")</f>
        <v/>
      </c>
      <c r="L200" s="14" t="n"/>
      <c r="M200" s="10" t="n"/>
      <c r="N200" s="10" t="n"/>
    </row>
    <row r="201">
      <c r="A201" s="11">
        <f>IF(B201="","",ROW()-3)</f>
        <v/>
      </c>
      <c r="B201" s="12" t="n"/>
      <c r="C201" s="13" t="n"/>
      <c r="D201" s="10" t="n"/>
      <c r="E201" s="10" t="n"/>
      <c r="F201" s="14" t="n"/>
      <c r="G201" s="14" t="n"/>
      <c r="H201" s="10" t="n"/>
      <c r="I201" s="18">
        <f>IF(OR(F201="",G201=""),"",G201-F201)</f>
        <v/>
      </c>
      <c r="J201" s="19" t="n"/>
      <c r="K201" s="15">
        <f>IFERROR(I201/J201,"")</f>
        <v/>
      </c>
      <c r="L201" s="14" t="n"/>
      <c r="M201" s="10" t="n"/>
      <c r="N201" s="10" t="n"/>
    </row>
    <row r="202">
      <c r="A202" s="11">
        <f>IF(B202="","",ROW()-3)</f>
        <v/>
      </c>
      <c r="B202" s="12" t="n"/>
      <c r="C202" s="13" t="n"/>
      <c r="D202" s="10" t="n"/>
      <c r="E202" s="10" t="n"/>
      <c r="F202" s="14" t="n"/>
      <c r="G202" s="14" t="n"/>
      <c r="H202" s="10" t="n"/>
      <c r="I202" s="18">
        <f>IF(OR(F202="",G202=""),"",G202-F202)</f>
        <v/>
      </c>
      <c r="J202" s="19" t="n"/>
      <c r="K202" s="15">
        <f>IFERROR(I202/J202,"")</f>
        <v/>
      </c>
      <c r="L202" s="14" t="n"/>
      <c r="M202" s="10" t="n"/>
      <c r="N202" s="10" t="n"/>
    </row>
    <row r="203">
      <c r="A203" s="11">
        <f>IF(B203="","",ROW()-3)</f>
        <v/>
      </c>
      <c r="B203" s="12" t="n"/>
      <c r="C203" s="13" t="n"/>
      <c r="D203" s="10" t="n"/>
      <c r="E203" s="10" t="n"/>
      <c r="F203" s="14" t="n"/>
      <c r="G203" s="14" t="n"/>
      <c r="H203" s="10" t="n"/>
      <c r="I203" s="18">
        <f>IF(OR(F203="",G203=""),"",G203-F203)</f>
        <v/>
      </c>
      <c r="J203" s="19" t="n"/>
      <c r="K203" s="15">
        <f>IFERROR(I203/J203,"")</f>
        <v/>
      </c>
      <c r="L203" s="14" t="n"/>
      <c r="M203" s="10" t="n"/>
      <c r="N203" s="10" t="n"/>
    </row>
  </sheetData>
  <mergeCells count="1">
    <mergeCell ref="A1:N1"/>
  </mergeCells>
  <dataValidations count="5">
    <dataValidation sqref="D4:D203" showDropDown="0" showInputMessage="0" showErrorMessage="0" allowBlank="1" errorTitle="Liste de valeurs" error="Valeur non autorisée : choisissez un élément de la liste." type="list">
      <formula1>=Référentiels!$A$4:$A$6</formula1>
    </dataValidation>
    <dataValidation sqref="E4:E203" showDropDown="0" showInputMessage="0" showErrorMessage="0" allowBlank="1" errorTitle="Liste de valeurs" error="Valeur non autorisée : choisissez un élément de la liste." type="list">
      <formula1>=Référentiels!$E$4:$E$6</formula1>
    </dataValidation>
    <dataValidation sqref="H4:H203" showDropDown="0" showInputMessage="0" showErrorMessage="0" allowBlank="1" errorTitle="Liste de valeurs" error="Valeur non autorisée : choisissez un élément de la liste." type="list">
      <formula1>=Référentiels!$F$4:$F$5</formula1>
    </dataValidation>
    <dataValidation sqref="M4:M203" showDropDown="0" showInputMessage="0" showErrorMessage="0" allowBlank="1" errorTitle="Liste de valeurs" error="Valeur non autorisée : choisissez un élément de la liste." type="list">
      <formula1>=Référentiels!$H$4:$H$7</formula1>
    </dataValidation>
    <dataValidation sqref="F4:G203 J4:J203 L4:L203" showDropDown="0" showInputMessage="0" showErrorMessage="0" allowBlank="1" error="La valeur doit être un nombre positif ou nul." type="decimal" operator="greaterThanOrEqual">
      <formula1>0</formula1>
    </dataValidation>
  </dataValidations>
  <pageMargins left="0.75" right="0.75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 fitToPage="1"/>
  </sheetPr>
  <dimension ref="B2:H27"/>
  <sheetViews>
    <sheetView workbookViewId="0">
      <selection activeCell="A1" sqref="A1"/>
    </sheetView>
  </sheetViews>
  <sheetFormatPr baseColWidth="8" defaultRowHeight="15" outlineLevelCol="0"/>
  <cols>
    <col width="2" customWidth="1" min="1" max="1"/>
    <col width="40" customWidth="1" min="2" max="2"/>
    <col width="3" customWidth="1" min="3" max="3"/>
    <col width="28" customWidth="1" min="4" max="4"/>
    <col width="3" customWidth="1" min="5" max="5"/>
    <col width="40" customWidth="1" min="6" max="6"/>
    <col width="3" customWidth="1" min="7" max="7"/>
    <col width="28" customWidth="1" min="8" max="8"/>
  </cols>
  <sheetData>
    <row r="2" ht="42" customHeight="1">
      <c r="B2" s="20" t="inlineStr">
        <is>
          <t>SAISIE RAPIDE — ESSAI GASOIL</t>
        </is>
      </c>
      <c r="C2" s="2" t="n"/>
      <c r="D2" s="2" t="n"/>
      <c r="E2" s="2" t="n"/>
      <c r="F2" s="2" t="n"/>
      <c r="G2" s="2" t="n"/>
      <c r="H2" s="2" t="n"/>
    </row>
    <row r="3">
      <c r="B3" s="21" t="inlineStr">
        <is>
          <t>Remplissez les champs puis cliquez sur « Valider et ajouter ».</t>
        </is>
      </c>
    </row>
    <row r="5">
      <c r="B5" s="22" t="inlineStr">
        <is>
          <t>1. IDENTIFICATION</t>
        </is>
      </c>
      <c r="C5" s="23" t="n"/>
      <c r="D5" s="23" t="n"/>
      <c r="F5" s="22" t="inlineStr">
        <is>
          <t>2. RELEVÉS HORAIRES</t>
        </is>
      </c>
      <c r="G5" s="23" t="n"/>
      <c r="H5" s="23" t="n"/>
    </row>
    <row r="6" ht="22" customHeight="1">
      <c r="B6" s="24" t="inlineStr">
        <is>
          <t>Date de l'essai *</t>
        </is>
      </c>
      <c r="D6" s="25" t="n"/>
      <c r="F6" s="24" t="inlineStr">
        <is>
          <t>Heure début</t>
        </is>
      </c>
      <c r="H6" s="26" t="n"/>
    </row>
    <row r="7" ht="22" customHeight="1">
      <c r="B7" s="24" t="inlineStr">
        <is>
          <t>Site *</t>
        </is>
      </c>
      <c r="D7" s="27" t="n"/>
      <c r="F7" s="24" t="inlineStr">
        <is>
          <t>Heure fin</t>
        </is>
      </c>
      <c r="H7" s="26" t="n"/>
    </row>
    <row r="8" ht="22" customHeight="1">
      <c r="B8" s="24" t="inlineStr">
        <is>
          <t>Code équipement *</t>
        </is>
      </c>
      <c r="D8" s="27" t="n"/>
      <c r="F8" s="24" t="inlineStr">
        <is>
          <t>Compteur début (h)</t>
        </is>
      </c>
      <c r="H8" s="28" t="n"/>
    </row>
    <row r="9" ht="22" customHeight="1">
      <c r="B9" s="24" t="inlineStr">
        <is>
          <t>Type de charge</t>
        </is>
      </c>
      <c r="D9" s="27" t="n"/>
      <c r="F9" s="24" t="inlineStr">
        <is>
          <t>Compteur fin (h)</t>
        </is>
      </c>
      <c r="H9" s="28" t="n"/>
    </row>
    <row r="10" ht="22" customHeight="1">
      <c r="B10" s="24" t="inlineStr">
        <is>
          <t>Opérateur</t>
        </is>
      </c>
      <c r="D10" s="27" t="n"/>
      <c r="F10" s="24" t="inlineStr">
        <is>
          <t>Charge estimée (%)</t>
        </is>
      </c>
      <c r="H10" s="29" t="n"/>
    </row>
    <row r="12">
      <c r="B12" s="22" t="inlineStr">
        <is>
          <t>3. MESURES CARBURANT</t>
        </is>
      </c>
      <c r="C12" s="23" t="n"/>
      <c r="D12" s="23" t="n"/>
      <c r="E12" s="23" t="n"/>
      <c r="F12" s="23" t="n"/>
      <c r="G12" s="23" t="n"/>
      <c r="H12" s="23" t="n"/>
    </row>
    <row r="13">
      <c r="B13" s="24" t="inlineStr">
        <is>
          <t>Niveau initial (repère plein)</t>
        </is>
      </c>
      <c r="D13" s="28" t="n"/>
      <c r="F13" s="30" t="inlineStr">
        <is>
          <t>Durée mesurée (h)</t>
        </is>
      </c>
      <c r="H13" s="31">
        <f>IF(OR(H7="",H8=""),"",H8-H7)</f>
        <v/>
      </c>
    </row>
    <row r="14">
      <c r="B14" s="24" t="inlineStr">
        <is>
          <t>Niveau final avant appoint (repère)</t>
        </is>
      </c>
      <c r="D14" s="28" t="n"/>
      <c r="F14" s="30" t="inlineStr">
        <is>
          <t>Conso corrigée (L)</t>
        </is>
      </c>
      <c r="H14" s="31">
        <f>IF(D15="","",D15+IF(D16="",0,D16)-IF(D17="",0,D17))</f>
        <v/>
      </c>
    </row>
    <row r="15">
      <c r="B15" s="24" t="inlineStr">
        <is>
          <t>Gasoil ajouté au plein (L) *</t>
        </is>
      </c>
      <c r="D15" s="28" t="n"/>
      <c r="F15" s="30" t="inlineStr">
        <is>
          <t>Conso moyenne (L/h)</t>
        </is>
      </c>
      <c r="H15" s="31">
        <f>IFERROR(H14/H13,"")</f>
        <v/>
      </c>
    </row>
    <row r="16">
      <c r="B16" s="24" t="inlineStr">
        <is>
          <t>Autres ajouts (L)</t>
        </is>
      </c>
      <c r="D16" s="28" t="n"/>
      <c r="F16" s="30" t="inlineStr">
        <is>
          <t>Conso spécifique (L/kWh)</t>
        </is>
      </c>
      <c r="H16" s="32">
        <f>IFERROR(H14/D18,"")</f>
        <v/>
      </c>
    </row>
    <row r="17">
      <c r="B17" s="24" t="inlineStr">
        <is>
          <t>Fuites / pertes estimées (L)</t>
        </is>
      </c>
      <c r="D17" s="28" t="n"/>
    </row>
    <row r="18">
      <c r="B18" s="24" t="inlineStr">
        <is>
          <t>Énergie produite (kWh)</t>
        </is>
      </c>
      <c r="D18" s="28" t="n"/>
    </row>
    <row r="20">
      <c r="B20" s="22" t="inlineStr">
        <is>
          <t>4. CONDITIONS ET VALIDATION</t>
        </is>
      </c>
      <c r="C20" s="23" t="n"/>
      <c r="D20" s="23" t="n"/>
      <c r="E20" s="23" t="n"/>
      <c r="F20" s="23" t="n"/>
      <c r="G20" s="23" t="n"/>
      <c r="H20" s="23" t="n"/>
    </row>
    <row r="21">
      <c r="B21" s="24" t="inlineStr">
        <is>
          <t>État / conditions de l'essai</t>
        </is>
      </c>
      <c r="D21" s="27" t="n"/>
    </row>
    <row r="22">
      <c r="B22" s="24" t="inlineStr">
        <is>
          <t>Observations / anomalies</t>
        </is>
      </c>
      <c r="D22" s="27" t="n"/>
    </row>
    <row r="23">
      <c r="B23" s="24" t="inlineStr">
        <is>
          <t>Vérif. niveau identique ? (Oui/Non)</t>
        </is>
      </c>
      <c r="D23" s="27" t="n"/>
    </row>
    <row r="24">
      <c r="B24" s="24" t="inlineStr">
        <is>
          <t>Validation responsable</t>
        </is>
      </c>
      <c r="D24" s="27" t="n"/>
    </row>
    <row r="26">
      <c r="B26" s="8" t="inlineStr">
        <is>
          <t>[ Boutons VBA : Valider et ajouter / Réinitialiser ]</t>
        </is>
      </c>
    </row>
    <row r="27">
      <c r="B27" s="33" t="inlineStr">
        <is>
          <t>* Champs obligatoires. Les boutons « Valider et ajouter » et « Réinitialiser » sont créés par les macros VBA.</t>
        </is>
      </c>
    </row>
  </sheetData>
  <mergeCells count="7">
    <mergeCell ref="B5:D5"/>
    <mergeCell ref="F5:H5"/>
    <mergeCell ref="B27:H27"/>
    <mergeCell ref="B12:H12"/>
    <mergeCell ref="B2:H2"/>
    <mergeCell ref="B3:H3"/>
    <mergeCell ref="B20:H20"/>
  </mergeCells>
  <dataValidations count="5">
    <dataValidation sqref="D7" showDropDown="0" showInputMessage="0" showErrorMessage="0" allowBlank="1" errorTitle="Liste de valeurs" error="Valeur non autorisée : choisissez un élément de la liste." type="list">
      <formula1>=Référentiels!$A$4:$A$6</formula1>
    </dataValidation>
    <dataValidation sqref="D8" showDropDown="0" showInputMessage="0" showErrorMessage="0" allowBlank="1" errorTitle="Liste de valeurs" error="Valeur non autorisée : choisissez un élément de la liste." type="list">
      <formula1>=Référentiels!$B$4:$B$6</formula1>
    </dataValidation>
    <dataValidation sqref="D9" showDropDown="0" showInputMessage="0" showErrorMessage="0" allowBlank="1" errorTitle="Liste de valeurs" error="Valeur non autorisée : choisissez un élément de la liste." type="list">
      <formula1>=Référentiels!$D$4:$D$7</formula1>
    </dataValidation>
    <dataValidation sqref="D10" showDropDown="0" showInputMessage="0" showErrorMessage="0" allowBlank="1" errorTitle="Liste de valeurs" error="Valeur non autorisée : choisissez un élément de la liste." type="list">
      <formula1>=Référentiels!$C$4:$C$6</formula1>
    </dataValidation>
    <dataValidation sqref="D23" showDropDown="0" showInputMessage="0" showErrorMessage="0" allowBlank="1" errorTitle="Liste de valeurs" error="Valeur non autorisée : choisissez un élément de la liste." type="list">
      <formula1>=Référentiels!$G$4:$G$5</formula1>
    </dataValidation>
  </dataValidations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>
    <outlinePr summaryBelow="1" summaryRight="1"/>
    <pageSetUpPr fitToPage="1"/>
  </sheetPr>
  <dimension ref="B2:H20"/>
  <sheetViews>
    <sheetView workbookViewId="0">
      <selection activeCell="A1" sqref="A1"/>
    </sheetView>
  </sheetViews>
  <sheetFormatPr baseColWidth="8" defaultRowHeight="15" outlineLevelCol="0"/>
  <cols>
    <col width="2" customWidth="1" min="1" max="1"/>
    <col width="40" customWidth="1" min="2" max="2"/>
    <col width="3" customWidth="1" min="3" max="3"/>
    <col width="28" customWidth="1" min="4" max="4"/>
    <col width="3" customWidth="1" min="5" max="5"/>
    <col width="40" customWidth="1" min="6" max="6"/>
    <col width="3" customWidth="1" min="7" max="7"/>
    <col width="28" customWidth="1" min="8" max="8"/>
  </cols>
  <sheetData>
    <row r="2" ht="42" customHeight="1">
      <c r="B2" s="20" t="inlineStr">
        <is>
          <t>SAISIE RAPIDE — RELEVÉ DÉBITMÈTRE</t>
        </is>
      </c>
      <c r="C2" s="2" t="n"/>
      <c r="D2" s="2" t="n"/>
      <c r="E2" s="2" t="n"/>
      <c r="F2" s="2" t="n"/>
      <c r="G2" s="2" t="n"/>
      <c r="H2" s="2" t="n"/>
    </row>
    <row r="3">
      <c r="B3" s="21" t="inlineStr">
        <is>
          <t>Remplissez les champs puis cliquez sur « Valider et ajouter ».</t>
        </is>
      </c>
    </row>
    <row r="5">
      <c r="B5" s="22" t="inlineStr">
        <is>
          <t>1. IDENTIFICATION</t>
        </is>
      </c>
      <c r="C5" s="23" t="n"/>
      <c r="D5" s="23" t="n"/>
      <c r="F5" s="22" t="inlineStr">
        <is>
          <t>2. RELEVÉ COMPTEUR</t>
        </is>
      </c>
      <c r="G5" s="23" t="n"/>
      <c r="H5" s="23" t="n"/>
    </row>
    <row r="6" ht="22" customHeight="1">
      <c r="B6" s="24" t="inlineStr">
        <is>
          <t>Date *</t>
        </is>
      </c>
      <c r="D6" s="25" t="n"/>
      <c r="F6" s="24" t="inlineStr">
        <is>
          <t>Index début</t>
        </is>
      </c>
      <c r="H6" s="28" t="n"/>
    </row>
    <row r="7" ht="22" customHeight="1">
      <c r="B7" s="24" t="inlineStr">
        <is>
          <t>Heure</t>
        </is>
      </c>
      <c r="D7" s="26" t="n"/>
      <c r="F7" s="24" t="inlineStr">
        <is>
          <t>Index fin</t>
        </is>
      </c>
      <c r="H7" s="28" t="n"/>
    </row>
    <row r="8" ht="22" customHeight="1">
      <c r="B8" s="24" t="inlineStr">
        <is>
          <t>Site *</t>
        </is>
      </c>
      <c r="D8" s="27" t="n"/>
      <c r="F8" s="24" t="inlineStr">
        <is>
          <t>Unité (m³ / L)</t>
        </is>
      </c>
      <c r="H8" s="27" t="n"/>
    </row>
    <row r="9" ht="22" customHeight="1">
      <c r="B9" s="24" t="inlineStr">
        <is>
          <t>Débitmètre *</t>
        </is>
      </c>
      <c r="D9" s="27" t="n"/>
      <c r="F9" s="24" t="inlineStr">
        <is>
          <t>Durée (h)</t>
        </is>
      </c>
      <c r="H9" s="34" t="n"/>
    </row>
    <row r="10" ht="22" customHeight="1">
      <c r="B10" s="24" t="inlineStr">
        <is>
          <t>Opérateur</t>
        </is>
      </c>
      <c r="D10" s="27" t="n"/>
      <c r="F10" s="24" t="inlineStr">
        <is>
          <t>Énergie utilisée (kWh)</t>
        </is>
      </c>
      <c r="H10" s="28" t="n"/>
    </row>
    <row r="12">
      <c r="B12" s="35" t="inlineStr">
        <is>
          <t>Volume calculé</t>
        </is>
      </c>
      <c r="D12" s="36">
        <f>IF(OR(H6="",H7=""),"",H7-H6)</f>
        <v/>
      </c>
      <c r="F12" s="35" t="inlineStr">
        <is>
          <t>Débit moyen (m³/h)</t>
        </is>
      </c>
      <c r="H12" s="31">
        <f>IFERROR(D12/H9,"")</f>
        <v/>
      </c>
    </row>
    <row r="15">
      <c r="B15" s="22" t="inlineStr">
        <is>
          <t>3. OBSERVATIONS ET VALIDATION</t>
        </is>
      </c>
      <c r="C15" s="23" t="n"/>
      <c r="D15" s="23" t="n"/>
      <c r="E15" s="23" t="n"/>
      <c r="F15" s="23" t="n"/>
      <c r="G15" s="23" t="n"/>
      <c r="H15" s="23" t="n"/>
    </row>
    <row r="16">
      <c r="B16" s="24" t="inlineStr">
        <is>
          <t>Source d'énergie</t>
        </is>
      </c>
      <c r="D16" s="27" t="n"/>
      <c r="F16" s="24" t="inlineStr">
        <is>
          <t>Validation responsable</t>
        </is>
      </c>
      <c r="H16" s="27" t="n"/>
    </row>
    <row r="17">
      <c r="B17" s="24" t="inlineStr">
        <is>
          <t>Observations / anomalies</t>
        </is>
      </c>
      <c r="D17" s="27" t="n"/>
    </row>
    <row r="19">
      <c r="B19" s="8" t="inlineStr">
        <is>
          <t>[ Boutons VBA : Valider et ajouter / Réinitialiser ]</t>
        </is>
      </c>
    </row>
    <row r="20">
      <c r="B20" s="33" t="inlineStr">
        <is>
          <t>* Champs obligatoires. Le volume est calculé si les deux index sont renseignés.</t>
        </is>
      </c>
    </row>
  </sheetData>
  <mergeCells count="6">
    <mergeCell ref="B5:D5"/>
    <mergeCell ref="F5:H5"/>
    <mergeCell ref="B2:H2"/>
    <mergeCell ref="B15:H15"/>
    <mergeCell ref="B3:H3"/>
    <mergeCell ref="B20:H20"/>
  </mergeCells>
  <dataValidations count="4">
    <dataValidation sqref="D8" showDropDown="0" showInputMessage="0" showErrorMessage="0" allowBlank="1" errorTitle="Liste de valeurs" error="Valeur non autorisée : choisissez un élément de la liste." type="list">
      <formula1>=Référentiels!$A$4:$A$6</formula1>
    </dataValidation>
    <dataValidation sqref="D9" showDropDown="0" showInputMessage="0" showErrorMessage="0" allowBlank="1" errorTitle="Liste de valeurs" error="Valeur non autorisée : choisissez un élément de la liste." type="list">
      <formula1>=Référentiels!$E$4:$E$6</formula1>
    </dataValidation>
    <dataValidation sqref="H8" showDropDown="0" showInputMessage="0" showErrorMessage="0" allowBlank="1" errorTitle="Liste de valeurs" error="Valeur non autorisée : choisissez un élément de la liste." type="list">
      <formula1>=Référentiels!$F$4:$F$5</formula1>
    </dataValidation>
    <dataValidation sqref="D16" showDropDown="0" showInputMessage="0" showErrorMessage="0" allowBlank="1" errorTitle="Liste de valeurs" error="Valeur non autorisée : choisissez un élément de la liste." type="list">
      <formula1>=Référentiels!$H$4:$H$7</formula1>
    </dataValidation>
  </dataValidations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J34"/>
  <sheetViews>
    <sheetView workbookViewId="0">
      <selection activeCell="A1" sqref="A1"/>
    </sheetView>
  </sheetViews>
  <sheetFormatPr baseColWidth="8" defaultRowHeight="15" outlineLevelCol="0"/>
  <cols>
    <col width="30" customWidth="1" min="1" max="1"/>
    <col width="3" customWidth="1" min="2" max="2"/>
    <col width="16" customWidth="1" min="3" max="3"/>
    <col width="3" customWidth="1" min="4" max="4"/>
    <col width="14" customWidth="1" min="5" max="5"/>
    <col width="14" customWidth="1" min="6" max="6"/>
    <col width="3" customWidth="1" min="7" max="7"/>
    <col width="10" customWidth="1" min="8" max="8"/>
    <col width="14" customWidth="1" min="9" max="9"/>
    <col width="16" customWidth="1" min="10" max="10"/>
  </cols>
  <sheetData>
    <row r="1" ht="26" customHeight="1">
      <c r="A1" s="1" t="inlineStr">
        <is>
          <t>SYNTHÈSE AUTOMATIQUE — GASOIL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</row>
    <row r="3">
      <c r="A3" s="37" t="inlineStr">
        <is>
          <t>Nombre d'essais</t>
        </is>
      </c>
      <c r="C3" s="38">
        <f>COUNT(Saisie_Gasoil!B4:B103)</f>
        <v/>
      </c>
      <c r="E3" s="22" t="inlineStr">
        <is>
          <t>Détail par site</t>
        </is>
      </c>
      <c r="F3" s="23" t="n"/>
      <c r="H3" s="22" t="inlineStr">
        <is>
          <t>Données graphiques — Tendance</t>
        </is>
      </c>
      <c r="I3" s="23" t="n"/>
      <c r="J3" s="23" t="n"/>
    </row>
    <row r="4" ht="42" customHeight="1">
      <c r="A4" s="37" t="inlineStr">
        <is>
          <t>Total heures</t>
        </is>
      </c>
      <c r="C4" s="36">
        <f>SUM(Saisie_Gasoil!J4:J103)</f>
        <v/>
      </c>
      <c r="E4" s="39" t="inlineStr">
        <is>
          <t>Site A</t>
        </is>
      </c>
      <c r="F4" s="40">
        <f>SUMIF(Saisie_Gasoil!$C$4:$C$103,E4,Saisie_Gasoil!$P$4:$P$103)</f>
        <v/>
      </c>
      <c r="H4" s="9" t="inlineStr">
        <is>
          <t>N° essai</t>
        </is>
      </c>
      <c r="I4" s="9" t="inlineStr">
        <is>
          <t>Conso moyenne (L/h)</t>
        </is>
      </c>
      <c r="J4" s="9" t="inlineStr">
        <is>
          <t>Conso spécifique (L/kWh)</t>
        </is>
      </c>
    </row>
    <row r="5">
      <c r="A5" s="37" t="inlineStr">
        <is>
          <t>Total gasoil corrigé (L)</t>
        </is>
      </c>
      <c r="C5" s="36">
        <f>SUM(Saisie_Gasoil!P4:P103)</f>
        <v/>
      </c>
      <c r="E5" s="39" t="inlineStr">
        <is>
          <t>Site B</t>
        </is>
      </c>
      <c r="F5" s="40">
        <f>SUMIF(Saisie_Gasoil!$C$4:$C$103,E5,Saisie_Gasoil!$P$4:$P$103)</f>
        <v/>
      </c>
      <c r="H5" s="11">
        <f>IF(Saisie_Gasoil!A4="","",Saisie_Gasoil!A4)</f>
        <v/>
      </c>
      <c r="I5" s="15">
        <f>IF(Saisie_Gasoil!Q4="","",Saisie_Gasoil!Q4)</f>
        <v/>
      </c>
      <c r="J5" s="17">
        <f>IF(Saisie_Gasoil!T4="","",Saisie_Gasoil!T4)</f>
        <v/>
      </c>
    </row>
    <row r="6">
      <c r="A6" s="37" t="inlineStr">
        <is>
          <t>Conso moyenne pondérée (L/h)</t>
        </is>
      </c>
      <c r="C6" s="31">
        <f>IFERROR(C5/C4,"")</f>
        <v/>
      </c>
      <c r="E6" s="39" t="inlineStr">
        <is>
          <t>Site C</t>
        </is>
      </c>
      <c r="F6" s="40">
        <f>SUMIF(Saisie_Gasoil!$C$4:$C$103,E6,Saisie_Gasoil!$P$4:$P$103)</f>
        <v/>
      </c>
      <c r="H6" s="11">
        <f>IF(Saisie_Gasoil!A5="","",Saisie_Gasoil!A5)</f>
        <v/>
      </c>
      <c r="I6" s="15">
        <f>IF(Saisie_Gasoil!Q5="","",Saisie_Gasoil!Q5)</f>
        <v/>
      </c>
      <c r="J6" s="17">
        <f>IF(Saisie_Gasoil!T5="","",Saisie_Gasoil!T5)</f>
        <v/>
      </c>
    </row>
    <row r="7">
      <c r="A7" s="37" t="inlineStr">
        <is>
          <t>Énergie totale (kWh)</t>
        </is>
      </c>
      <c r="C7" s="36">
        <f>SUM(Saisie_Gasoil!S4:S103)</f>
        <v/>
      </c>
      <c r="H7" s="11">
        <f>IF(Saisie_Gasoil!A6="","",Saisie_Gasoil!A6)</f>
        <v/>
      </c>
      <c r="I7" s="15">
        <f>IF(Saisie_Gasoil!Q6="","",Saisie_Gasoil!Q6)</f>
        <v/>
      </c>
      <c r="J7" s="17">
        <f>IF(Saisie_Gasoil!T6="","",Saisie_Gasoil!T6)</f>
        <v/>
      </c>
    </row>
    <row r="8">
      <c r="A8" s="37" t="inlineStr">
        <is>
          <t>Conso spécifique globale (L/kWh)</t>
        </is>
      </c>
      <c r="C8" s="32">
        <f>IFERROR(C5/C7,"")</f>
        <v/>
      </c>
      <c r="H8" s="11">
        <f>IF(Saisie_Gasoil!A7="","",Saisie_Gasoil!A7)</f>
        <v/>
      </c>
      <c r="I8" s="15">
        <f>IF(Saisie_Gasoil!Q7="","",Saisie_Gasoil!Q7)</f>
        <v/>
      </c>
      <c r="J8" s="17">
        <f>IF(Saisie_Gasoil!T7="","",Saisie_Gasoil!T7)</f>
        <v/>
      </c>
    </row>
    <row r="9">
      <c r="A9" s="37" t="inlineStr">
        <is>
          <t>Coût total (FCFA)</t>
        </is>
      </c>
      <c r="C9" s="41">
        <f>ROUND(C5*PrixGasoil,0)</f>
        <v/>
      </c>
      <c r="H9" s="11">
        <f>IF(Saisie_Gasoil!A8="","",Saisie_Gasoil!A8)</f>
        <v/>
      </c>
      <c r="I9" s="15">
        <f>IF(Saisie_Gasoil!Q8="","",Saisie_Gasoil!Q8)</f>
        <v/>
      </c>
      <c r="J9" s="17">
        <f>IF(Saisie_Gasoil!T8="","",Saisie_Gasoil!T8)</f>
        <v/>
      </c>
    </row>
    <row r="10">
      <c r="A10" s="37" t="inlineStr">
        <is>
          <t>Émissions CO₂ estimées (kg)</t>
        </is>
      </c>
      <c r="C10" s="41">
        <f>ROUND(C5*FacteurCO2,0)</f>
        <v/>
      </c>
      <c r="H10" s="11">
        <f>IF(Saisie_Gasoil!A9="","",Saisie_Gasoil!A9)</f>
        <v/>
      </c>
      <c r="I10" s="15">
        <f>IF(Saisie_Gasoil!Q9="","",Saisie_Gasoil!Q9)</f>
        <v/>
      </c>
      <c r="J10" s="17">
        <f>IF(Saisie_Gasoil!T9="","",Saisie_Gasoil!T9)</f>
        <v/>
      </c>
    </row>
    <row r="11">
      <c r="A11" s="37" t="inlineStr">
        <is>
          <t>Fuite totale (L)</t>
        </is>
      </c>
      <c r="C11" s="36">
        <f>SUM(Saisie_Gasoil!O4:O103)</f>
        <v/>
      </c>
      <c r="H11" s="11">
        <f>IF(Saisie_Gasoil!A10="","",Saisie_Gasoil!A10)</f>
        <v/>
      </c>
      <c r="I11" s="15">
        <f>IF(Saisie_Gasoil!Q10="","",Saisie_Gasoil!Q10)</f>
        <v/>
      </c>
      <c r="J11" s="17">
        <f>IF(Saisie_Gasoil!T10="","",Saisie_Gasoil!T10)</f>
        <v/>
      </c>
    </row>
    <row r="12">
      <c r="E12" s="22" t="inlineStr">
        <is>
          <t>Détail par type de charge</t>
        </is>
      </c>
      <c r="F12" s="23" t="n"/>
      <c r="H12" s="11">
        <f>IF(Saisie_Gasoil!A11="","",Saisie_Gasoil!A11)</f>
        <v/>
      </c>
      <c r="I12" s="15">
        <f>IF(Saisie_Gasoil!Q11="","",Saisie_Gasoil!Q11)</f>
        <v/>
      </c>
      <c r="J12" s="17">
        <f>IF(Saisie_Gasoil!T11="","",Saisie_Gasoil!T11)</f>
        <v/>
      </c>
    </row>
    <row r="13">
      <c r="E13" s="39" t="inlineStr">
        <is>
          <t>Pompage</t>
        </is>
      </c>
      <c r="F13" s="40">
        <f>SUMIF(Saisie_Gasoil!$E$4:$E$103,E13,Saisie_Gasoil!$P$4:$P$103)</f>
        <v/>
      </c>
      <c r="H13" s="11">
        <f>IF(Saisie_Gasoil!A12="","",Saisie_Gasoil!A12)</f>
        <v/>
      </c>
      <c r="I13" s="15">
        <f>IF(Saisie_Gasoil!Q12="","",Saisie_Gasoil!Q12)</f>
        <v/>
      </c>
      <c r="J13" s="17">
        <f>IF(Saisie_Gasoil!T12="","",Saisie_Gasoil!T12)</f>
        <v/>
      </c>
    </row>
    <row r="14">
      <c r="E14" s="39" t="inlineStr">
        <is>
          <t>Éclairage</t>
        </is>
      </c>
      <c r="F14" s="40">
        <f>SUMIF(Saisie_Gasoil!$E$4:$E$103,E14,Saisie_Gasoil!$P$4:$P$103)</f>
        <v/>
      </c>
      <c r="H14" s="11">
        <f>IF(Saisie_Gasoil!A13="","",Saisie_Gasoil!A13)</f>
        <v/>
      </c>
      <c r="I14" s="15">
        <f>IF(Saisie_Gasoil!Q13="","",Saisie_Gasoil!Q13)</f>
        <v/>
      </c>
      <c r="J14" s="17">
        <f>IF(Saisie_Gasoil!T13="","",Saisie_Gasoil!T13)</f>
        <v/>
      </c>
    </row>
    <row r="15">
      <c r="E15" s="39" t="inlineStr">
        <is>
          <t>Mixte</t>
        </is>
      </c>
      <c r="F15" s="40">
        <f>SUMIF(Saisie_Gasoil!$E$4:$E$103,E15,Saisie_Gasoil!$P$4:$P$103)</f>
        <v/>
      </c>
      <c r="H15" s="11">
        <f>IF(Saisie_Gasoil!A14="","",Saisie_Gasoil!A14)</f>
        <v/>
      </c>
      <c r="I15" s="15">
        <f>IF(Saisie_Gasoil!Q14="","",Saisie_Gasoil!Q14)</f>
        <v/>
      </c>
      <c r="J15" s="17">
        <f>IF(Saisie_Gasoil!T14="","",Saisie_Gasoil!T14)</f>
        <v/>
      </c>
    </row>
    <row r="16">
      <c r="E16" s="39" t="inlineStr">
        <is>
          <t>Autre</t>
        </is>
      </c>
      <c r="F16" s="40">
        <f>SUMIF(Saisie_Gasoil!$E$4:$E$103,E16,Saisie_Gasoil!$P$4:$P$103)</f>
        <v/>
      </c>
      <c r="H16" s="11">
        <f>IF(Saisie_Gasoil!A15="","",Saisie_Gasoil!A15)</f>
        <v/>
      </c>
      <c r="I16" s="15">
        <f>IF(Saisie_Gasoil!Q15="","",Saisie_Gasoil!Q15)</f>
        <v/>
      </c>
      <c r="J16" s="17">
        <f>IF(Saisie_Gasoil!T15="","",Saisie_Gasoil!T15)</f>
        <v/>
      </c>
    </row>
    <row r="17">
      <c r="H17" s="11">
        <f>IF(Saisie_Gasoil!A16="","",Saisie_Gasoil!A16)</f>
        <v/>
      </c>
      <c r="I17" s="15">
        <f>IF(Saisie_Gasoil!Q16="","",Saisie_Gasoil!Q16)</f>
        <v/>
      </c>
      <c r="J17" s="17">
        <f>IF(Saisie_Gasoil!T16="","",Saisie_Gasoil!T16)</f>
        <v/>
      </c>
    </row>
    <row r="18">
      <c r="H18" s="11">
        <f>IF(Saisie_Gasoil!A17="","",Saisie_Gasoil!A17)</f>
        <v/>
      </c>
      <c r="I18" s="15">
        <f>IF(Saisie_Gasoil!Q17="","",Saisie_Gasoil!Q17)</f>
        <v/>
      </c>
      <c r="J18" s="17">
        <f>IF(Saisie_Gasoil!T17="","",Saisie_Gasoil!T17)</f>
        <v/>
      </c>
    </row>
    <row r="19">
      <c r="H19" s="11">
        <f>IF(Saisie_Gasoil!A18="","",Saisie_Gasoil!A18)</f>
        <v/>
      </c>
      <c r="I19" s="15">
        <f>IF(Saisie_Gasoil!Q18="","",Saisie_Gasoil!Q18)</f>
        <v/>
      </c>
      <c r="J19" s="17">
        <f>IF(Saisie_Gasoil!T18="","",Saisie_Gasoil!T18)</f>
        <v/>
      </c>
    </row>
    <row r="20">
      <c r="H20" s="11">
        <f>IF(Saisie_Gasoil!A19="","",Saisie_Gasoil!A19)</f>
        <v/>
      </c>
      <c r="I20" s="15">
        <f>IF(Saisie_Gasoil!Q19="","",Saisie_Gasoil!Q19)</f>
        <v/>
      </c>
      <c r="J20" s="17">
        <f>IF(Saisie_Gasoil!T19="","",Saisie_Gasoil!T19)</f>
        <v/>
      </c>
    </row>
    <row r="21">
      <c r="H21" s="11">
        <f>IF(Saisie_Gasoil!A20="","",Saisie_Gasoil!A20)</f>
        <v/>
      </c>
      <c r="I21" s="15">
        <f>IF(Saisie_Gasoil!Q20="","",Saisie_Gasoil!Q20)</f>
        <v/>
      </c>
      <c r="J21" s="17">
        <f>IF(Saisie_Gasoil!T20="","",Saisie_Gasoil!T20)</f>
        <v/>
      </c>
    </row>
    <row r="22">
      <c r="H22" s="11">
        <f>IF(Saisie_Gasoil!A21="","",Saisie_Gasoil!A21)</f>
        <v/>
      </c>
      <c r="I22" s="15">
        <f>IF(Saisie_Gasoil!Q21="","",Saisie_Gasoil!Q21)</f>
        <v/>
      </c>
      <c r="J22" s="17">
        <f>IF(Saisie_Gasoil!T21="","",Saisie_Gasoil!T21)</f>
        <v/>
      </c>
    </row>
    <row r="23">
      <c r="H23" s="11">
        <f>IF(Saisie_Gasoil!A22="","",Saisie_Gasoil!A22)</f>
        <v/>
      </c>
      <c r="I23" s="15">
        <f>IF(Saisie_Gasoil!Q22="","",Saisie_Gasoil!Q22)</f>
        <v/>
      </c>
      <c r="J23" s="17">
        <f>IF(Saisie_Gasoil!T22="","",Saisie_Gasoil!T22)</f>
        <v/>
      </c>
    </row>
    <row r="24">
      <c r="H24" s="11">
        <f>IF(Saisie_Gasoil!A23="","",Saisie_Gasoil!A23)</f>
        <v/>
      </c>
      <c r="I24" s="15">
        <f>IF(Saisie_Gasoil!Q23="","",Saisie_Gasoil!Q23)</f>
        <v/>
      </c>
      <c r="J24" s="17">
        <f>IF(Saisie_Gasoil!T23="","",Saisie_Gasoil!T23)</f>
        <v/>
      </c>
    </row>
    <row r="25">
      <c r="H25" s="11">
        <f>IF(Saisie_Gasoil!A24="","",Saisie_Gasoil!A24)</f>
        <v/>
      </c>
      <c r="I25" s="15">
        <f>IF(Saisie_Gasoil!Q24="","",Saisie_Gasoil!Q24)</f>
        <v/>
      </c>
      <c r="J25" s="17">
        <f>IF(Saisie_Gasoil!T24="","",Saisie_Gasoil!T24)</f>
        <v/>
      </c>
    </row>
    <row r="26">
      <c r="H26" s="11">
        <f>IF(Saisie_Gasoil!A25="","",Saisie_Gasoil!A25)</f>
        <v/>
      </c>
      <c r="I26" s="15">
        <f>IF(Saisie_Gasoil!Q25="","",Saisie_Gasoil!Q25)</f>
        <v/>
      </c>
      <c r="J26" s="17">
        <f>IF(Saisie_Gasoil!T25="","",Saisie_Gasoil!T25)</f>
        <v/>
      </c>
    </row>
    <row r="27">
      <c r="H27" s="11">
        <f>IF(Saisie_Gasoil!A26="","",Saisie_Gasoil!A26)</f>
        <v/>
      </c>
      <c r="I27" s="15">
        <f>IF(Saisie_Gasoil!Q26="","",Saisie_Gasoil!Q26)</f>
        <v/>
      </c>
      <c r="J27" s="17">
        <f>IF(Saisie_Gasoil!T26="","",Saisie_Gasoil!T26)</f>
        <v/>
      </c>
    </row>
    <row r="28">
      <c r="H28" s="11">
        <f>IF(Saisie_Gasoil!A27="","",Saisie_Gasoil!A27)</f>
        <v/>
      </c>
      <c r="I28" s="15">
        <f>IF(Saisie_Gasoil!Q27="","",Saisie_Gasoil!Q27)</f>
        <v/>
      </c>
      <c r="J28" s="17">
        <f>IF(Saisie_Gasoil!T27="","",Saisie_Gasoil!T27)</f>
        <v/>
      </c>
    </row>
    <row r="29">
      <c r="H29" s="11">
        <f>IF(Saisie_Gasoil!A28="","",Saisie_Gasoil!A28)</f>
        <v/>
      </c>
      <c r="I29" s="15">
        <f>IF(Saisie_Gasoil!Q28="","",Saisie_Gasoil!Q28)</f>
        <v/>
      </c>
      <c r="J29" s="17">
        <f>IF(Saisie_Gasoil!T28="","",Saisie_Gasoil!T28)</f>
        <v/>
      </c>
    </row>
    <row r="30">
      <c r="H30" s="11">
        <f>IF(Saisie_Gasoil!A29="","",Saisie_Gasoil!A29)</f>
        <v/>
      </c>
      <c r="I30" s="15">
        <f>IF(Saisie_Gasoil!Q29="","",Saisie_Gasoil!Q29)</f>
        <v/>
      </c>
      <c r="J30" s="17">
        <f>IF(Saisie_Gasoil!T29="","",Saisie_Gasoil!T29)</f>
        <v/>
      </c>
    </row>
    <row r="31">
      <c r="H31" s="11">
        <f>IF(Saisie_Gasoil!A30="","",Saisie_Gasoil!A30)</f>
        <v/>
      </c>
      <c r="I31" s="15">
        <f>IF(Saisie_Gasoil!Q30="","",Saisie_Gasoil!Q30)</f>
        <v/>
      </c>
      <c r="J31" s="17">
        <f>IF(Saisie_Gasoil!T30="","",Saisie_Gasoil!T30)</f>
        <v/>
      </c>
    </row>
    <row r="32">
      <c r="H32" s="11">
        <f>IF(Saisie_Gasoil!A31="","",Saisie_Gasoil!A31)</f>
        <v/>
      </c>
      <c r="I32" s="15">
        <f>IF(Saisie_Gasoil!Q31="","",Saisie_Gasoil!Q31)</f>
        <v/>
      </c>
      <c r="J32" s="17">
        <f>IF(Saisie_Gasoil!T31="","",Saisie_Gasoil!T31)</f>
        <v/>
      </c>
    </row>
    <row r="33">
      <c r="H33" s="11">
        <f>IF(Saisie_Gasoil!A32="","",Saisie_Gasoil!A32)</f>
        <v/>
      </c>
      <c r="I33" s="15">
        <f>IF(Saisie_Gasoil!Q32="","",Saisie_Gasoil!Q32)</f>
        <v/>
      </c>
      <c r="J33" s="17">
        <f>IF(Saisie_Gasoil!T32="","",Saisie_Gasoil!T32)</f>
        <v/>
      </c>
    </row>
    <row r="34">
      <c r="H34" s="11">
        <f>IF(Saisie_Gasoil!A33="","",Saisie_Gasoil!A33)</f>
        <v/>
      </c>
      <c r="I34" s="15">
        <f>IF(Saisie_Gasoil!Q33="","",Saisie_Gasoil!Q33)</f>
        <v/>
      </c>
      <c r="J34" s="17">
        <f>IF(Saisie_Gasoil!T33="","",Saisie_Gasoil!T33)</f>
        <v/>
      </c>
    </row>
  </sheetData>
  <mergeCells count="4">
    <mergeCell ref="H3:J3"/>
    <mergeCell ref="E12:F12"/>
    <mergeCell ref="A1:J1"/>
    <mergeCell ref="E3:F3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I34"/>
  <sheetViews>
    <sheetView workbookViewId="0">
      <selection activeCell="A1" sqref="A1"/>
    </sheetView>
  </sheetViews>
  <sheetFormatPr baseColWidth="8" defaultRowHeight="15" outlineLevelCol="0"/>
  <cols>
    <col width="30" customWidth="1" min="1" max="1"/>
    <col width="3" customWidth="1" min="2" max="2"/>
    <col width="16" customWidth="1" min="3" max="3"/>
    <col width="3" customWidth="1" min="4" max="4"/>
    <col width="14" customWidth="1" min="5" max="5"/>
    <col width="14" customWidth="1" min="6" max="6"/>
    <col width="3" customWidth="1" min="7" max="7"/>
    <col width="10" customWidth="1" min="8" max="8"/>
    <col width="14" customWidth="1" min="9" max="9"/>
  </cols>
  <sheetData>
    <row r="1" ht="26" customHeight="1">
      <c r="A1" s="1" t="inlineStr">
        <is>
          <t>SYNTHÈSE AUTOMATIQUE — PRODUCTION D'EAU</t>
        </is>
      </c>
      <c r="B1" s="2" t="n"/>
      <c r="C1" s="2" t="n"/>
      <c r="D1" s="2" t="n"/>
      <c r="E1" s="2" t="n"/>
      <c r="F1" s="2" t="n"/>
      <c r="G1" s="2" t="n"/>
      <c r="H1" s="2" t="n"/>
      <c r="I1" s="2" t="n"/>
    </row>
    <row r="3">
      <c r="A3" s="37" t="inlineStr">
        <is>
          <t>Nombre de relevés</t>
        </is>
      </c>
      <c r="C3" s="38">
        <f>COUNT(Saisie_Eau!B4:B203)</f>
        <v/>
      </c>
      <c r="E3" s="22" t="inlineStr">
        <is>
          <t>Détail par site</t>
        </is>
      </c>
      <c r="F3" s="23" t="n"/>
      <c r="H3" s="22" t="inlineStr">
        <is>
          <t>Données graphiques — Débit</t>
        </is>
      </c>
      <c r="I3" s="23" t="n"/>
    </row>
    <row r="4" ht="42" customHeight="1">
      <c r="A4" s="37" t="inlineStr">
        <is>
          <t>Volume total (m³)</t>
        </is>
      </c>
      <c r="C4" s="36">
        <f>SUM(Saisie_Eau!I4:I203)</f>
        <v/>
      </c>
      <c r="E4" s="39" t="inlineStr">
        <is>
          <t>Site A</t>
        </is>
      </c>
      <c r="F4" s="40">
        <f>SUMIF(Saisie_Eau!$D$4:$D$203,E4,Saisie_Eau!$I$4:$I$203)</f>
        <v/>
      </c>
      <c r="H4" s="9" t="inlineStr">
        <is>
          <t>N° relevé</t>
        </is>
      </c>
      <c r="I4" s="9" t="inlineStr">
        <is>
          <t>Débit moyen (m³/h)</t>
        </is>
      </c>
    </row>
    <row r="5">
      <c r="A5" s="37" t="inlineStr">
        <is>
          <t>Durée totale (h)</t>
        </is>
      </c>
      <c r="C5" s="36">
        <f>SUM(Saisie_Eau!J4:J203)</f>
        <v/>
      </c>
      <c r="E5" s="39" t="inlineStr">
        <is>
          <t>Site B</t>
        </is>
      </c>
      <c r="F5" s="40">
        <f>SUMIF(Saisie_Eau!$D$4:$D$203,E5,Saisie_Eau!$I$4:$I$203)</f>
        <v/>
      </c>
      <c r="H5" s="11">
        <f>IF(Saisie_Eau!A4="","",Saisie_Eau!A4)</f>
        <v/>
      </c>
      <c r="I5" s="15">
        <f>IF(Saisie_Eau!K4="","",Saisie_Eau!K4)</f>
        <v/>
      </c>
    </row>
    <row r="6">
      <c r="A6" s="37" t="inlineStr">
        <is>
          <t>Débit moyen global (m³/h)</t>
        </is>
      </c>
      <c r="C6" s="31">
        <f>IFERROR(C4/C5,"")</f>
        <v/>
      </c>
      <c r="E6" s="39" t="inlineStr">
        <is>
          <t>Site C</t>
        </is>
      </c>
      <c r="F6" s="40">
        <f>SUMIF(Saisie_Eau!$D$4:$D$203,E6,Saisie_Eau!$I$4:$I$203)</f>
        <v/>
      </c>
      <c r="H6" s="11">
        <f>IF(Saisie_Eau!A5="","",Saisie_Eau!A5)</f>
        <v/>
      </c>
      <c r="I6" s="15">
        <f>IF(Saisie_Eau!K5="","",Saisie_Eau!K5)</f>
        <v/>
      </c>
    </row>
    <row r="7">
      <c r="A7" s="37" t="inlineStr">
        <is>
          <t>Énergie totale (kWh)</t>
        </is>
      </c>
      <c r="C7" s="36">
        <f>SUM(Saisie_Eau!L4:L203)</f>
        <v/>
      </c>
      <c r="H7" s="11">
        <f>IF(Saisie_Eau!A6="","",Saisie_Eau!A6)</f>
        <v/>
      </c>
      <c r="I7" s="15">
        <f>IF(Saisie_Eau!K6="","",Saisie_Eau!K6)</f>
        <v/>
      </c>
    </row>
    <row r="8">
      <c r="A8" s="37" t="inlineStr">
        <is>
          <t>Ratio gasoil / eau (L/m³)</t>
        </is>
      </c>
      <c r="C8" s="31">
        <f>IFERROR(Synthèse_Gasoil!C5/C4,"")</f>
        <v/>
      </c>
      <c r="H8" s="11">
        <f>IF(Saisie_Eau!A7="","",Saisie_Eau!A7)</f>
        <v/>
      </c>
      <c r="I8" s="15">
        <f>IF(Saisie_Eau!K7="","",Saisie_Eau!K7)</f>
        <v/>
      </c>
    </row>
    <row r="9">
      <c r="A9" s="37" t="inlineStr">
        <is>
          <t>Ratio kWh / m³</t>
        </is>
      </c>
      <c r="C9" s="32">
        <f>IFERROR(C6/C4,"")</f>
        <v/>
      </c>
      <c r="H9" s="11">
        <f>IF(Saisie_Eau!A8="","",Saisie_Eau!A8)</f>
        <v/>
      </c>
      <c r="I9" s="15">
        <f>IF(Saisie_Eau!K8="","",Saisie_Eau!K8)</f>
        <v/>
      </c>
    </row>
    <row r="10">
      <c r="H10" s="11">
        <f>IF(Saisie_Eau!A9="","",Saisie_Eau!A9)</f>
        <v/>
      </c>
      <c r="I10" s="15">
        <f>IF(Saisie_Eau!K9="","",Saisie_Eau!K9)</f>
        <v/>
      </c>
    </row>
    <row r="11">
      <c r="H11" s="11">
        <f>IF(Saisie_Eau!A10="","",Saisie_Eau!A10)</f>
        <v/>
      </c>
      <c r="I11" s="15">
        <f>IF(Saisie_Eau!K10="","",Saisie_Eau!K10)</f>
        <v/>
      </c>
    </row>
    <row r="12">
      <c r="H12" s="11">
        <f>IF(Saisie_Eau!A11="","",Saisie_Eau!A11)</f>
        <v/>
      </c>
      <c r="I12" s="15">
        <f>IF(Saisie_Eau!K11="","",Saisie_Eau!K11)</f>
        <v/>
      </c>
    </row>
    <row r="13">
      <c r="H13" s="11">
        <f>IF(Saisie_Eau!A12="","",Saisie_Eau!A12)</f>
        <v/>
      </c>
      <c r="I13" s="15">
        <f>IF(Saisie_Eau!K12="","",Saisie_Eau!K12)</f>
        <v/>
      </c>
    </row>
    <row r="14">
      <c r="H14" s="11">
        <f>IF(Saisie_Eau!A13="","",Saisie_Eau!A13)</f>
        <v/>
      </c>
      <c r="I14" s="15">
        <f>IF(Saisie_Eau!K13="","",Saisie_Eau!K13)</f>
        <v/>
      </c>
    </row>
    <row r="15">
      <c r="H15" s="11">
        <f>IF(Saisie_Eau!A14="","",Saisie_Eau!A14)</f>
        <v/>
      </c>
      <c r="I15" s="15">
        <f>IF(Saisie_Eau!K14="","",Saisie_Eau!K14)</f>
        <v/>
      </c>
    </row>
    <row r="16">
      <c r="H16" s="11">
        <f>IF(Saisie_Eau!A15="","",Saisie_Eau!A15)</f>
        <v/>
      </c>
      <c r="I16" s="15">
        <f>IF(Saisie_Eau!K15="","",Saisie_Eau!K15)</f>
        <v/>
      </c>
    </row>
    <row r="17">
      <c r="H17" s="11">
        <f>IF(Saisie_Eau!A16="","",Saisie_Eau!A16)</f>
        <v/>
      </c>
      <c r="I17" s="15">
        <f>IF(Saisie_Eau!K16="","",Saisie_Eau!K16)</f>
        <v/>
      </c>
    </row>
    <row r="18">
      <c r="H18" s="11">
        <f>IF(Saisie_Eau!A17="","",Saisie_Eau!A17)</f>
        <v/>
      </c>
      <c r="I18" s="15">
        <f>IF(Saisie_Eau!K17="","",Saisie_Eau!K17)</f>
        <v/>
      </c>
    </row>
    <row r="19">
      <c r="H19" s="11">
        <f>IF(Saisie_Eau!A18="","",Saisie_Eau!A18)</f>
        <v/>
      </c>
      <c r="I19" s="15">
        <f>IF(Saisie_Eau!K18="","",Saisie_Eau!K18)</f>
        <v/>
      </c>
    </row>
    <row r="20">
      <c r="H20" s="11">
        <f>IF(Saisie_Eau!A19="","",Saisie_Eau!A19)</f>
        <v/>
      </c>
      <c r="I20" s="15">
        <f>IF(Saisie_Eau!K19="","",Saisie_Eau!K19)</f>
        <v/>
      </c>
    </row>
    <row r="21">
      <c r="H21" s="11">
        <f>IF(Saisie_Eau!A20="","",Saisie_Eau!A20)</f>
        <v/>
      </c>
      <c r="I21" s="15">
        <f>IF(Saisie_Eau!K20="","",Saisie_Eau!K20)</f>
        <v/>
      </c>
    </row>
    <row r="22">
      <c r="H22" s="11">
        <f>IF(Saisie_Eau!A21="","",Saisie_Eau!A21)</f>
        <v/>
      </c>
      <c r="I22" s="15">
        <f>IF(Saisie_Eau!K21="","",Saisie_Eau!K21)</f>
        <v/>
      </c>
    </row>
    <row r="23">
      <c r="H23" s="11">
        <f>IF(Saisie_Eau!A22="","",Saisie_Eau!A22)</f>
        <v/>
      </c>
      <c r="I23" s="15">
        <f>IF(Saisie_Eau!K22="","",Saisie_Eau!K22)</f>
        <v/>
      </c>
    </row>
    <row r="24">
      <c r="H24" s="11">
        <f>IF(Saisie_Eau!A23="","",Saisie_Eau!A23)</f>
        <v/>
      </c>
      <c r="I24" s="15">
        <f>IF(Saisie_Eau!K23="","",Saisie_Eau!K23)</f>
        <v/>
      </c>
    </row>
    <row r="25">
      <c r="H25" s="11">
        <f>IF(Saisie_Eau!A24="","",Saisie_Eau!A24)</f>
        <v/>
      </c>
      <c r="I25" s="15">
        <f>IF(Saisie_Eau!K24="","",Saisie_Eau!K24)</f>
        <v/>
      </c>
    </row>
    <row r="26">
      <c r="H26" s="11">
        <f>IF(Saisie_Eau!A25="","",Saisie_Eau!A25)</f>
        <v/>
      </c>
      <c r="I26" s="15">
        <f>IF(Saisie_Eau!K25="","",Saisie_Eau!K25)</f>
        <v/>
      </c>
    </row>
    <row r="27">
      <c r="H27" s="11">
        <f>IF(Saisie_Eau!A26="","",Saisie_Eau!A26)</f>
        <v/>
      </c>
      <c r="I27" s="15">
        <f>IF(Saisie_Eau!K26="","",Saisie_Eau!K26)</f>
        <v/>
      </c>
    </row>
    <row r="28">
      <c r="H28" s="11">
        <f>IF(Saisie_Eau!A27="","",Saisie_Eau!A27)</f>
        <v/>
      </c>
      <c r="I28" s="15">
        <f>IF(Saisie_Eau!K27="","",Saisie_Eau!K27)</f>
        <v/>
      </c>
    </row>
    <row r="29">
      <c r="H29" s="11">
        <f>IF(Saisie_Eau!A28="","",Saisie_Eau!A28)</f>
        <v/>
      </c>
      <c r="I29" s="15">
        <f>IF(Saisie_Eau!K28="","",Saisie_Eau!K28)</f>
        <v/>
      </c>
    </row>
    <row r="30">
      <c r="H30" s="11">
        <f>IF(Saisie_Eau!A29="","",Saisie_Eau!A29)</f>
        <v/>
      </c>
      <c r="I30" s="15">
        <f>IF(Saisie_Eau!K29="","",Saisie_Eau!K29)</f>
        <v/>
      </c>
    </row>
    <row r="31">
      <c r="H31" s="11">
        <f>IF(Saisie_Eau!A30="","",Saisie_Eau!A30)</f>
        <v/>
      </c>
      <c r="I31" s="15">
        <f>IF(Saisie_Eau!K30="","",Saisie_Eau!K30)</f>
        <v/>
      </c>
    </row>
    <row r="32">
      <c r="H32" s="11">
        <f>IF(Saisie_Eau!A31="","",Saisie_Eau!A31)</f>
        <v/>
      </c>
      <c r="I32" s="15">
        <f>IF(Saisie_Eau!K31="","",Saisie_Eau!K31)</f>
        <v/>
      </c>
    </row>
    <row r="33">
      <c r="H33" s="11">
        <f>IF(Saisie_Eau!A32="","",Saisie_Eau!A32)</f>
        <v/>
      </c>
      <c r="I33" s="15">
        <f>IF(Saisie_Eau!K32="","",Saisie_Eau!K32)</f>
        <v/>
      </c>
    </row>
    <row r="34">
      <c r="H34" s="11">
        <f>IF(Saisie_Eau!A33="","",Saisie_Eau!A33)</f>
        <v/>
      </c>
      <c r="I34" s="15">
        <f>IF(Saisie_Eau!K33="","",Saisie_Eau!K33)</f>
        <v/>
      </c>
    </row>
  </sheetData>
  <mergeCells count="3">
    <mergeCell ref="A1:I1"/>
    <mergeCell ref="E3:F3"/>
    <mergeCell ref="H3:I3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 fitToPage="1"/>
  </sheetPr>
  <dimension ref="B2:H45"/>
  <sheetViews>
    <sheetView workbookViewId="0">
      <selection activeCell="A1" sqref="A1"/>
    </sheetView>
  </sheetViews>
  <sheetFormatPr baseColWidth="8" defaultRowHeight="15" outlineLevelCol="0"/>
  <cols>
    <col width="4" customWidth="1" min="1" max="1"/>
    <col width="22" customWidth="1" min="2" max="2"/>
    <col width="22" customWidth="1" min="3" max="3"/>
    <col width="22" customWidth="1" min="4" max="4"/>
    <col width="22" customWidth="1" min="5" max="5"/>
    <col width="22" customWidth="1" min="6" max="6"/>
    <col width="22" customWidth="1" min="7" max="7"/>
    <col width="22" customWidth="1" min="8" max="8"/>
  </cols>
  <sheetData>
    <row r="2" ht="42" customHeight="1">
      <c r="B2" s="20" t="inlineStr">
        <is>
          <t>TABLEAU DE BORD — GASOIL &amp; PRODUCTION D'EAU</t>
        </is>
      </c>
      <c r="C2" s="2" t="n"/>
      <c r="D2" s="2" t="n"/>
      <c r="E2" s="2" t="n"/>
      <c r="F2" s="2" t="n"/>
      <c r="G2" s="2" t="n"/>
      <c r="H2" s="2" t="n"/>
    </row>
    <row r="3">
      <c r="B3" s="21" t="inlineStr">
        <is>
          <t>Vue synthétique de la consommation de gasoil et de la production d'eau — mise à jour automatique.</t>
        </is>
      </c>
    </row>
    <row r="5" ht="30" customHeight="1">
      <c r="B5" s="9" t="inlineStr">
        <is>
          <t>Gasoil total (L)</t>
        </is>
      </c>
      <c r="C5" s="9" t="inlineStr">
        <is>
          <t>Conso moyenne (L/h)</t>
        </is>
      </c>
      <c r="D5" s="9" t="inlineStr">
        <is>
          <t>Conso spécifique (L/kWh)</t>
        </is>
      </c>
      <c r="E5" s="9" t="inlineStr">
        <is>
          <t>Coût total (FCFA)</t>
        </is>
      </c>
      <c r="F5" s="9" t="inlineStr">
        <is>
          <t>Volume eau (m³)</t>
        </is>
      </c>
      <c r="G5" s="9" t="inlineStr">
        <is>
          <t>Débit moyen (m³/h)</t>
        </is>
      </c>
      <c r="H5" s="9" t="inlineStr">
        <is>
          <t>L gasoil / m³ eau</t>
        </is>
      </c>
    </row>
    <row r="6" ht="38" customHeight="1">
      <c r="B6" s="42">
        <f>Synthèse_Gasoil!C5</f>
        <v/>
      </c>
      <c r="C6" s="43">
        <f>Synthèse_Gasoil!C6</f>
        <v/>
      </c>
      <c r="D6" s="44">
        <f>Synthèse_Gasoil!C8</f>
        <v/>
      </c>
      <c r="E6" s="42">
        <f>Synthèse_Gasoil!C9</f>
        <v/>
      </c>
      <c r="F6" s="42">
        <f>Synthèse_Eau!C4</f>
        <v/>
      </c>
      <c r="G6" s="43">
        <f>Synthèse_Eau!C6</f>
        <v/>
      </c>
      <c r="H6" s="43">
        <f>Synthèse_Eau!C8</f>
        <v/>
      </c>
    </row>
    <row r="9">
      <c r="B9" s="22" t="inlineStr">
        <is>
          <t>ANALYSE GRAPHIQUE</t>
        </is>
      </c>
      <c r="C9" s="23" t="n"/>
      <c r="D9" s="23" t="n"/>
      <c r="E9" s="23" t="n"/>
      <c r="F9" s="23" t="n"/>
      <c r="G9" s="23" t="n"/>
      <c r="H9" s="23" t="n"/>
    </row>
    <row r="45">
      <c r="B45" s="8" t="inlineStr">
        <is>
          <t>[ Boutons VBA : Saisie rapide gasoil / Saisie rapide eau / Exporter en PDF ]</t>
        </is>
      </c>
    </row>
  </sheetData>
  <mergeCells count="3">
    <mergeCell ref="B3:H3"/>
    <mergeCell ref="B2:H2"/>
    <mergeCell ref="B9:H9"/>
  </mergeCells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A1:E34"/>
  <sheetViews>
    <sheetView workbookViewId="0">
      <selection activeCell="A1" sqref="A1"/>
    </sheetView>
  </sheetViews>
  <sheetFormatPr baseColWidth="8" defaultRowHeight="15" outlineLevelCol="0"/>
  <cols>
    <col width="26" customWidth="1" min="1" max="1"/>
    <col width="20" customWidth="1" min="2" max="2"/>
    <col width="4" customWidth="1" min="3" max="3"/>
    <col width="26" customWidth="1" min="4" max="4"/>
    <col width="20" customWidth="1" min="5" max="5"/>
  </cols>
  <sheetData>
    <row r="1" ht="28" customHeight="1">
      <c r="A1" s="1" t="inlineStr">
        <is>
          <t>FICHE TERRAIN — MESURE PLEIN À PLEIN</t>
        </is>
      </c>
      <c r="B1" s="2" t="n"/>
      <c r="C1" s="2" t="n"/>
      <c r="D1" s="2" t="n"/>
      <c r="E1" s="2" t="n"/>
    </row>
    <row r="3">
      <c r="A3" s="22" t="inlineStr">
        <is>
          <t>1. CONTEXTE DE L'ESSAI</t>
        </is>
      </c>
      <c r="B3" s="23" t="n"/>
      <c r="C3" s="23" t="n"/>
      <c r="D3" s="23" t="n"/>
      <c r="E3" s="23" t="n"/>
    </row>
    <row r="4">
      <c r="A4" s="24" t="inlineStr">
        <is>
          <t>Site</t>
        </is>
      </c>
      <c r="B4" s="27" t="n"/>
      <c r="D4" s="24" t="inlineStr">
        <is>
          <t>Date</t>
        </is>
      </c>
      <c r="E4" s="25" t="n"/>
    </row>
    <row r="5">
      <c r="A5" s="24" t="inlineStr">
        <is>
          <t>Groupe / code</t>
        </is>
      </c>
      <c r="B5" s="27" t="n"/>
      <c r="D5" s="24" t="inlineStr">
        <is>
          <t>Opérateur</t>
        </is>
      </c>
      <c r="E5" s="27" t="n"/>
    </row>
    <row r="6">
      <c r="A6" s="24" t="inlineStr">
        <is>
          <t>Puissance (kVA)</t>
        </is>
      </c>
      <c r="B6" s="27" t="n"/>
      <c r="D6" s="24" t="inlineStr">
        <is>
          <t>Charge / équipement</t>
        </is>
      </c>
      <c r="E6" s="27" t="n"/>
    </row>
    <row r="8">
      <c r="A8" s="22" t="inlineStr">
        <is>
          <t>2. COMPTEUR HORAIRE</t>
        </is>
      </c>
      <c r="B8" s="23" t="n"/>
      <c r="C8" s="23" t="n"/>
      <c r="D8" s="23" t="n"/>
      <c r="E8" s="23" t="n"/>
    </row>
    <row r="9">
      <c r="A9" s="24" t="inlineStr">
        <is>
          <t>Compteur début (h)</t>
        </is>
      </c>
      <c r="B9" s="28" t="n"/>
      <c r="D9" s="24" t="inlineStr">
        <is>
          <t>Compteur fin (h)</t>
        </is>
      </c>
      <c r="E9" s="28" t="n"/>
    </row>
    <row r="10">
      <c r="A10" s="24" t="inlineStr">
        <is>
          <t>Durée (h) — auto</t>
        </is>
      </c>
      <c r="B10" s="15">
        <f>IF(OR(B9="",E9=""),"",E9-B9)</f>
        <v/>
      </c>
    </row>
    <row r="12">
      <c r="A12" s="22" t="inlineStr">
        <is>
          <t>3. CARBURANT</t>
        </is>
      </c>
      <c r="B12" s="23" t="n"/>
      <c r="C12" s="23" t="n"/>
      <c r="D12" s="23" t="n"/>
      <c r="E12" s="23" t="n"/>
    </row>
    <row r="13">
      <c r="A13" s="24" t="inlineStr">
        <is>
          <t>Gasoil ajouté (L)</t>
        </is>
      </c>
      <c r="B13" s="28" t="n"/>
      <c r="D13" s="24" t="inlineStr">
        <is>
          <t>Énergie produite (kWh)</t>
        </is>
      </c>
      <c r="E13" s="28" t="n"/>
    </row>
    <row r="14">
      <c r="A14" s="24" t="inlineStr">
        <is>
          <t>Fuites / autres (L)</t>
        </is>
      </c>
      <c r="B14" s="28" t="n"/>
    </row>
    <row r="15">
      <c r="A15" s="24" t="inlineStr">
        <is>
          <t>Conso moyenne (L/h) — auto</t>
        </is>
      </c>
      <c r="B15" s="15">
        <f>IFERROR((B13+B14)/B10,"")</f>
        <v/>
      </c>
    </row>
    <row r="17">
      <c r="A17" s="22" t="inlineStr">
        <is>
          <t>SUIVI DE LA PRODUCTION D'EAU — DÉBITMÈTRES</t>
        </is>
      </c>
      <c r="B17" s="23" t="n"/>
      <c r="C17" s="23" t="n"/>
      <c r="D17" s="23" t="n"/>
      <c r="E17" s="23" t="n"/>
    </row>
    <row r="18" ht="42" customHeight="1">
      <c r="A18" s="9" t="inlineStr">
        <is>
          <t>Débitmètre</t>
        </is>
      </c>
      <c r="B18" s="9" t="inlineStr">
        <is>
          <t>Index début</t>
        </is>
      </c>
      <c r="C18" s="9" t="inlineStr">
        <is>
          <t>Index fin</t>
        </is>
      </c>
      <c r="D18" s="9" t="inlineStr">
        <is>
          <t>Durée (h)</t>
        </is>
      </c>
      <c r="E18" s="9" t="inlineStr">
        <is>
          <t>Volume (m³)</t>
        </is>
      </c>
    </row>
    <row r="19">
      <c r="A19" s="27" t="n"/>
      <c r="B19" s="28" t="n"/>
      <c r="C19" s="28" t="n"/>
      <c r="D19" s="28" t="n"/>
      <c r="E19" s="18">
        <f>IF(OR(B19="",C19=""),"",C19-B19)</f>
        <v/>
      </c>
    </row>
    <row r="20">
      <c r="A20" s="27" t="n"/>
      <c r="B20" s="28" t="n"/>
      <c r="C20" s="28" t="n"/>
      <c r="D20" s="28" t="n"/>
      <c r="E20" s="18">
        <f>IF(OR(B20="",C20=""),"",C20-B20)</f>
        <v/>
      </c>
    </row>
    <row r="21">
      <c r="A21" s="27" t="n"/>
      <c r="B21" s="28" t="n"/>
      <c r="C21" s="28" t="n"/>
      <c r="D21" s="28" t="n"/>
      <c r="E21" s="18">
        <f>IF(OR(B21="",C21=""),"",C21-B21)</f>
        <v/>
      </c>
    </row>
    <row r="22">
      <c r="A22" s="27" t="n"/>
      <c r="B22" s="28" t="n"/>
      <c r="C22" s="28" t="n"/>
      <c r="D22" s="28" t="n"/>
      <c r="E22" s="18">
        <f>IF(OR(B22="",C22=""),"",C22-B22)</f>
        <v/>
      </c>
    </row>
    <row r="23">
      <c r="A23" s="27" t="n"/>
      <c r="B23" s="28" t="n"/>
      <c r="C23" s="28" t="n"/>
      <c r="D23" s="28" t="n"/>
      <c r="E23" s="18">
        <f>IF(OR(B23="",C23=""),"",C23-B23)</f>
        <v/>
      </c>
    </row>
    <row r="25">
      <c r="A25" s="22" t="inlineStr">
        <is>
          <t>OBSERVATIONS</t>
        </is>
      </c>
      <c r="B25" s="23" t="n"/>
      <c r="C25" s="23" t="n"/>
      <c r="D25" s="23" t="n"/>
      <c r="E25" s="23" t="n"/>
    </row>
    <row r="26">
      <c r="A26" s="45" t="n"/>
      <c r="B26" s="10" t="n"/>
      <c r="C26" s="10" t="n"/>
      <c r="D26" s="10" t="n"/>
      <c r="E26" s="10" t="n"/>
    </row>
    <row r="27">
      <c r="A27" s="10" t="n"/>
      <c r="B27" s="10" t="n"/>
      <c r="C27" s="10" t="n"/>
      <c r="D27" s="10" t="n"/>
      <c r="E27" s="10" t="n"/>
    </row>
    <row r="28">
      <c r="A28" s="10" t="n"/>
      <c r="B28" s="10" t="n"/>
      <c r="C28" s="10" t="n"/>
      <c r="D28" s="10" t="n"/>
      <c r="E28" s="10" t="n"/>
    </row>
    <row r="29">
      <c r="A29" s="10" t="n"/>
      <c r="B29" s="10" t="n"/>
      <c r="C29" s="10" t="n"/>
      <c r="D29" s="10" t="n"/>
      <c r="E29" s="10" t="n"/>
    </row>
    <row r="30">
      <c r="A30" s="10" t="n"/>
      <c r="B30" s="10" t="n"/>
      <c r="C30" s="10" t="n"/>
      <c r="D30" s="10" t="n"/>
      <c r="E30" s="10" t="n"/>
    </row>
    <row r="32">
      <c r="A32" s="22" t="inlineStr">
        <is>
          <t>SIGNATURES</t>
        </is>
      </c>
      <c r="B32" s="23" t="n"/>
      <c r="C32" s="23" t="n"/>
      <c r="D32" s="23" t="n"/>
      <c r="E32" s="23" t="n"/>
    </row>
    <row r="33">
      <c r="A33" s="24" t="inlineStr">
        <is>
          <t>Opérateur :</t>
        </is>
      </c>
      <c r="D33" s="24" t="inlineStr">
        <is>
          <t>Responsable :</t>
        </is>
      </c>
    </row>
    <row r="34">
      <c r="B34" s="46" t="n"/>
      <c r="E34" s="46" t="n"/>
    </row>
  </sheetData>
  <mergeCells count="8">
    <mergeCell ref="A12:E12"/>
    <mergeCell ref="A25:E25"/>
    <mergeCell ref="A1:E1"/>
    <mergeCell ref="A26:E30"/>
    <mergeCell ref="A32:E32"/>
    <mergeCell ref="A8:E8"/>
    <mergeCell ref="A17:E17"/>
    <mergeCell ref="A3:E3"/>
  </mergeCells>
  <pageMargins left="0.75" right="0.75" top="1" bottom="1" header="0.5" footer="0.5"/>
  <pageSetup orientation="landscape" fitToHeight="0" fitToWidth="1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C25"/>
  <sheetViews>
    <sheetView workbookViewId="0">
      <selection activeCell="A1" sqref="A1"/>
    </sheetView>
  </sheetViews>
  <sheetFormatPr baseColWidth="8" defaultRowHeight="15" outlineLevelCol="0"/>
  <cols>
    <col width="6" customWidth="1" min="1" max="1"/>
    <col width="34" customWidth="1" min="2" max="2"/>
    <col width="100" customWidth="1" min="3" max="3"/>
  </cols>
  <sheetData>
    <row r="1" ht="28" customHeight="1">
      <c r="A1" s="1" t="inlineStr">
        <is>
          <t>MODE D'EMPLOI — GUIDE EN 10 ÉTAPES</t>
        </is>
      </c>
      <c r="B1" s="2" t="n"/>
      <c r="C1" s="2" t="n"/>
    </row>
    <row r="5" ht="34" customHeight="1">
      <c r="A5" s="47" t="n">
        <v>1</v>
      </c>
      <c r="B5" s="48" t="inlineStr">
        <is>
          <t>Préparer l'essai</t>
        </is>
      </c>
      <c r="C5" s="49" t="inlineStr">
        <is>
          <t>Réaliser le plein complet du réservoir (référence = niveau « plein ») et noter le compteur horaire de départ.</t>
        </is>
      </c>
    </row>
    <row r="7" ht="34" customHeight="1">
      <c r="A7" s="47" t="n">
        <v>2</v>
      </c>
      <c r="B7" s="48" t="inlineStr">
        <is>
          <t>Exploiter le groupe</t>
        </is>
      </c>
      <c r="C7" s="49" t="inlineStr">
        <is>
          <t>Faire tourner le groupe électrogène dans les conditions réelles (charge, démarrage/arrêt) pendant la durée souhaitée.</t>
        </is>
      </c>
    </row>
    <row r="9" ht="34" customHeight="1">
      <c r="A9" s="47" t="n">
        <v>3</v>
      </c>
      <c r="B9" s="48" t="inlineStr">
        <is>
          <t>Consigner chaque ajout</t>
        </is>
      </c>
      <c r="C9" s="49" t="inlineStr">
        <is>
          <t>Si du gasoil est ajouté en cours d'essai, le noter immédiatement dans « Autres ajouts » avec l'heure.</t>
        </is>
      </c>
    </row>
    <row r="11" ht="34" customHeight="1">
      <c r="A11" s="47" t="n">
        <v>4</v>
      </c>
      <c r="B11" s="48" t="inlineStr">
        <is>
          <t>Refaire le plein (plein à plein)</t>
        </is>
      </c>
      <c r="C11" s="49" t="inlineStr">
        <is>
          <t>À la fin de l'essai, attendre 10 minutes, remettre le réservoir au même repère « plein » : le litre ajouté = consommation réelle.</t>
        </is>
      </c>
    </row>
    <row r="13" ht="34" customHeight="1">
      <c r="A13" s="47" t="n">
        <v>5</v>
      </c>
      <c r="B13" s="48" t="inlineStr">
        <is>
          <t>Saisir dans Saisie_Gasoil</t>
        </is>
      </c>
      <c r="C13" s="49" t="inlineStr">
        <is>
          <t>Renseigner la ligne correspondante dans l'onglet Saisie_Gasoil : durée, conso corrigée, conso moyenne et spécifique sont calculées.</t>
        </is>
      </c>
    </row>
    <row r="15" ht="34" customHeight="1">
      <c r="A15" s="47" t="n">
        <v>6</v>
      </c>
      <c r="B15" s="48" t="inlineStr">
        <is>
          <t>Utiliser le formulaire Saisie_Rapide_Gasoil</t>
        </is>
      </c>
      <c r="C15" s="49" t="inlineStr">
        <is>
          <t>Pour aller plus vite, remplir le formulaire de l'onglet « Saisie_Rapide_Gasoil » puis cliquer sur le bouton « Valider et ajouter » (macro) : la ligne est ajoutée automatiquement au tableau.</t>
        </is>
      </c>
    </row>
    <row r="17" ht="34" customHeight="1">
      <c r="A17" s="47" t="n">
        <v>7</v>
      </c>
      <c r="B17" s="48" t="inlineStr">
        <is>
          <t>Relevés débitmètres</t>
        </is>
      </c>
      <c r="C17" s="49" t="inlineStr">
        <is>
          <t>Relever index début/fin et durée dans Saisie_Eau (ou via le formulaire Saisie_Rapide_Eau) : volume et débit moyen sont calculés.</t>
        </is>
      </c>
    </row>
    <row r="19" ht="34" customHeight="1">
      <c r="A19" s="47" t="n">
        <v>8</v>
      </c>
      <c r="B19" s="48" t="inlineStr">
        <is>
          <t>Consulter le Tableau_Bord</t>
        </is>
      </c>
      <c r="C19" s="49" t="inlineStr">
        <is>
          <t>Les KPI et les 5 graphiques se mettent à jour automatiquement ; aucune action n'est requise.</t>
        </is>
      </c>
    </row>
    <row r="21" ht="34" customHeight="1">
      <c r="A21" s="47" t="n">
        <v>9</v>
      </c>
      <c r="B21" s="48" t="inlineStr">
        <is>
          <t>Sécurité</t>
        </is>
      </c>
      <c r="C21" s="49" t="inlineStr">
        <is>
          <t>Manipuler le gasoil avec des gants, loin de toute flamme ; stocker les bidons dans un lieu ventilé ; ne jamais transvaser en présence d'enfants.</t>
        </is>
      </c>
    </row>
    <row r="23" ht="34" customHeight="1">
      <c r="A23" s="47" t="n">
        <v>10</v>
      </c>
      <c r="B23" s="48" t="inlineStr">
        <is>
          <t>Sauvegarde mensuelle</t>
        </is>
      </c>
      <c r="C23" s="49" t="inlineStr">
        <is>
          <t>En fin de mois, enregistrer une copie datée du classeur (ex. suivi_2026-10.xlsm) et archiver la Fiche_Terrain imprimée.</t>
        </is>
      </c>
    </row>
    <row r="25">
      <c r="B25" s="8" t="inlineStr">
        <is>
          <t>Astuce : la feuille « Saisie_Rapide_Gasoil » permet d'enregistrer un essai en moins de 30 secondes via les boutons macro.</t>
        </is>
      </c>
    </row>
  </sheetData>
  <mergeCells count="2">
    <mergeCell ref="A1:C1"/>
    <mergeCell ref="B25:C25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2026-10-16T16:38:42Z</dcterms:created>
  <dcterms:modified xmlns:dcterms="http://purl.org/dc/terms/" xmlns:xsi="http://www.w3.org/2001/XMLSchema-instance" xsi:type="dcterms:W3CDTF">2026-10-16T16:38:43Z</dcterms:modified>
</cp:coreProperties>
</file>